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440" yWindow="620" windowWidth="28800" windowHeight="17400" tabRatio="500" firstSheet="0" activeTab="0" autoFilterDateGrouping="1"/>
  </bookViews>
  <sheets>
    <sheet name="CONTROL_MENSUAL" sheetId="1" state="visible" r:id="rId1"/>
    <sheet name="CONTROL_TM" sheetId="2" state="visible" r:id="rId2"/>
    <sheet name="CONFIGURACIÓN" sheetId="3" state="visible" r:id="rId3"/>
    <sheet name="DASHBOARD" sheetId="4" state="visible" r:id="rId4"/>
    <sheet name="DATOS_PROD" sheetId="5" state="visible" r:id="rId5"/>
    <sheet name="TIEMPOS_PERDIDOS" sheetId="6" state="visible" r:id="rId6"/>
    <sheet name="ANALISIS" sheetId="7" state="visible" r:id="rId7"/>
    <sheet name="DATA_DIARIO" sheetId="8" state="hidden" r:id="rId8"/>
    <sheet name="DATA_TM" sheetId="9" state="hidden" r:id="rId9"/>
    <sheet name="DATA_CONFIG" sheetId="10" state="hidden" r:id="rId10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#,##0.0"/>
    <numFmt numFmtId="165" formatCode="0.0\%"/>
    <numFmt numFmtId="166" formatCode="0.0%"/>
    <numFmt numFmtId="167" formatCode="#,##0;\(#,##0\)"/>
    <numFmt numFmtId="168" formatCode="0.0"/>
    <numFmt numFmtId="169" formatCode="0.0&quot;%&quot;"/>
  </numFmts>
  <fonts count="64">
    <font>
      <name val="Calibri"/>
      <charset val="1"/>
      <family val="2"/>
      <color theme="1"/>
      <sz val="11"/>
    </font>
    <font>
      <name val="Arial"/>
      <family val="2"/>
      <b val="1"/>
      <color rgb="FFFFFFFF"/>
      <sz val="14"/>
    </font>
    <font>
      <name val="Arial"/>
      <family val="2"/>
      <i val="1"/>
      <color rgb="FFFFFFFF"/>
      <sz val="10"/>
    </font>
    <font>
      <name val="Arial"/>
      <family val="2"/>
      <b val="1"/>
      <color rgb="FFFFFFFF"/>
      <sz val="9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color rgb="FF1A5276"/>
      <sz val="10"/>
    </font>
    <font>
      <name val="Arial"/>
      <family val="2"/>
      <b val="1"/>
      <color rgb="FFFFFFFF"/>
      <sz val="10"/>
    </font>
    <font>
      <name val="Arial"/>
      <family val="2"/>
      <i val="1"/>
      <sz val="8"/>
    </font>
    <font>
      <name val="Arial"/>
      <family val="2"/>
      <sz val="9"/>
    </font>
    <font>
      <name val="Arial"/>
      <family val="2"/>
      <color rgb="FFE67E22"/>
      <sz val="9"/>
    </font>
    <font>
      <name val="Arial"/>
      <family val="2"/>
      <i val="1"/>
      <color rgb="FF566573"/>
      <sz val="8"/>
    </font>
    <font>
      <name val="Arial"/>
      <charset val="1"/>
      <family val="2"/>
      <b val="1"/>
      <color rgb="FFFFFFFF"/>
      <sz val="14"/>
    </font>
    <font>
      <name val="Arial"/>
      <charset val="1"/>
      <family val="2"/>
      <i val="1"/>
      <color rgb="FFFFFFFF"/>
      <sz val="9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5436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i val="1"/>
      <color rgb="FF7F8C8D"/>
      <sz val="10"/>
    </font>
    <font>
      <name val="Arial"/>
      <charset val="1"/>
      <family val="2"/>
      <color rgb="FF7F8C8D"/>
      <sz val="8"/>
    </font>
    <font>
      <name val="Arial"/>
      <charset val="1"/>
      <family val="2"/>
      <b val="1"/>
      <color rgb="FF000000"/>
      <sz val="10"/>
    </font>
    <font>
      <name val="Arial"/>
      <charset val="1"/>
      <family val="2"/>
      <b val="1"/>
      <color rgb="FFFFFFFF"/>
      <sz val="9"/>
    </font>
    <font>
      <name val="Arial"/>
      <charset val="1"/>
      <family val="2"/>
      <i val="1"/>
      <color rgb="FF7F8C8D"/>
      <sz val="8"/>
    </font>
    <font>
      <name val="Arial"/>
      <charset val="1"/>
      <family val="2"/>
      <color rgb="FF154360"/>
      <sz val="10"/>
    </font>
    <font>
      <name val="Arial"/>
      <charset val="1"/>
      <family val="2"/>
      <b val="1"/>
      <color rgb="FFFFFFFF"/>
      <sz val="16"/>
    </font>
    <font>
      <name val="Arial"/>
      <charset val="1"/>
      <family val="2"/>
      <i val="1"/>
      <color rgb="FFFFFFFF"/>
      <sz val="10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color rgb="FF1E8449"/>
      <sz val="10"/>
    </font>
    <font>
      <name val="Arial"/>
      <charset val="1"/>
      <family val="2"/>
      <color rgb="FF000000"/>
      <sz val="9"/>
    </font>
    <font>
      <name val="Arial"/>
      <charset val="1"/>
      <family val="2"/>
      <b val="1"/>
      <sz val="10"/>
    </font>
    <font>
      <name val="Arial"/>
      <charset val="1"/>
      <family val="2"/>
      <sz val="10"/>
    </font>
    <font>
      <name val="Arial"/>
      <charset val="1"/>
      <family val="2"/>
      <b val="1"/>
      <color rgb="FFFFFFFF"/>
      <sz val="13"/>
    </font>
    <font>
      <name val="Arial"/>
      <charset val="1"/>
      <family val="2"/>
      <sz val="9"/>
    </font>
    <font>
      <name val="Arial"/>
      <charset val="1"/>
      <family val="2"/>
      <b val="1"/>
      <sz val="9"/>
    </font>
    <font>
      <name val="Arial"/>
      <charset val="1"/>
      <family val="2"/>
      <b val="1"/>
      <color rgb="FFFFFFFF"/>
      <sz val="12"/>
    </font>
    <font>
      <name val="Arial"/>
      <family val="2"/>
      <b val="1"/>
      <color rgb="FFC0392B"/>
      <sz val="9"/>
    </font>
    <font>
      <name val="Arial"/>
      <family val="2"/>
      <b val="1"/>
      <color rgb="FF000000"/>
      <sz val="10"/>
    </font>
    <font>
      <name val="Arial"/>
      <family val="2"/>
      <b val="1"/>
      <color rgb="FF000000"/>
      <sz val="9"/>
    </font>
    <font>
      <name val="Calibri"/>
      <charset val="1"/>
      <family val="2"/>
      <color theme="0"/>
      <sz val="11"/>
    </font>
    <font>
      <name val="Arial"/>
      <family val="2"/>
      <b val="1"/>
      <color theme="0"/>
      <sz val="8"/>
    </font>
    <font>
      <name val="Arial"/>
      <family val="2"/>
      <b val="1"/>
      <color theme="1"/>
      <sz val="28"/>
    </font>
    <font>
      <name val="Arial"/>
      <family val="2"/>
      <b val="1"/>
      <color rgb="FF566573"/>
      <sz val="8"/>
    </font>
    <font>
      <name val="Arial"/>
      <family val="2"/>
      <i val="1"/>
      <color rgb="FF566573"/>
      <sz val="7"/>
    </font>
    <font>
      <name val="Arial"/>
      <family val="2"/>
      <b val="1"/>
      <sz val="8"/>
    </font>
    <font>
      <name val="Arial"/>
      <family val="2"/>
      <b val="1"/>
      <color rgb="FFFFFFFF"/>
      <sz val="11"/>
    </font>
    <font>
      <name val="Arial"/>
      <family val="2"/>
      <b val="1"/>
      <color rgb="FF1A5276"/>
      <sz val="9"/>
    </font>
    <font>
      <name val="Arial"/>
      <family val="2"/>
      <color rgb="FFC0392B"/>
      <sz val="9"/>
    </font>
    <font>
      <name val="Arial"/>
      <family val="2"/>
      <color rgb="FF7F8C8D"/>
      <sz val="9"/>
    </font>
    <font>
      <name val="Arial"/>
      <family val="2"/>
      <b val="1"/>
      <color rgb="FF8E44AD"/>
      <sz val="9"/>
    </font>
    <font>
      <name val="Arial"/>
      <family val="2"/>
      <b val="1"/>
      <color rgb="FF922B21"/>
      <sz val="9"/>
    </font>
    <font>
      <name val="Arial"/>
      <family val="2"/>
      <sz val="8"/>
    </font>
    <font>
      <name val="Arial"/>
      <family val="2"/>
      <b val="1"/>
      <color rgb="FFE67E22"/>
      <sz val="9"/>
    </font>
    <font>
      <name val="Calibri"/>
      <charset val="1"/>
      <family val="2"/>
      <color theme="1"/>
      <sz val="11"/>
    </font>
    <font>
      <name val="Arial"/>
      <family val="2"/>
      <b val="1"/>
      <color rgb="FFFFFFFF"/>
      <sz val="13"/>
    </font>
    <font>
      <name val="Arial"/>
      <family val="2"/>
      <color rgb="FFFFFFFF"/>
      <sz val="9"/>
    </font>
    <font>
      <name val="Arial"/>
      <family val="2"/>
      <b val="1"/>
      <color rgb="FF1A5276"/>
      <sz val="11"/>
    </font>
    <font>
      <name val="Arial"/>
      <family val="2"/>
      <b val="1"/>
      <color rgb="FF7F8C8D"/>
      <sz val="9"/>
    </font>
    <font>
      <name val="Arial"/>
      <family val="2"/>
      <b val="1"/>
      <color rgb="FF922B21"/>
      <sz val="11"/>
    </font>
    <font>
      <name val="Arial"/>
      <family val="2"/>
      <b val="1"/>
      <color rgb="FF27AE60"/>
      <sz val="9"/>
    </font>
    <font>
      <name val="Arial"/>
      <family val="2"/>
      <b val="1"/>
      <color rgb="FFB7950B"/>
      <sz val="9"/>
    </font>
    <font>
      <name val="Arial"/>
      <family val="2"/>
      <b val="1"/>
      <color rgb="FFFFFFFF"/>
      <sz val="9"/>
    </font>
    <font>
      <name val="Calibri"/>
      <family val="2"/>
      <b val="1"/>
      <sz val="11"/>
    </font>
    <font>
      <name val="Arial"/>
      <b val="1"/>
      <color rgb="00FFFFFF"/>
      <sz val="9"/>
    </font>
    <font>
      <b val="1"/>
    </font>
  </fonts>
  <fills count="41">
    <fill>
      <patternFill/>
    </fill>
    <fill>
      <patternFill patternType="gray125"/>
    </fill>
    <fill>
      <patternFill patternType="solid">
        <fgColor rgb="FF1A5276"/>
        <bgColor rgb="FF154360"/>
      </patternFill>
    </fill>
    <fill>
      <patternFill patternType="solid">
        <fgColor rgb="FF154360"/>
        <bgColor rgb="FF1A5276"/>
      </patternFill>
    </fill>
    <fill>
      <patternFill patternType="solid">
        <fgColor rgb="FFD6EAF8"/>
        <bgColor rgb="FFD5F5E3"/>
      </patternFill>
    </fill>
    <fill>
      <patternFill patternType="solid">
        <fgColor rgb="FFF2F3F4"/>
        <bgColor rgb="FFEBF5FB"/>
      </patternFill>
    </fill>
    <fill>
      <patternFill patternType="solid">
        <fgColor rgb="FFFFFFFF"/>
        <bgColor rgb="FFFEF9E7"/>
      </patternFill>
    </fill>
    <fill>
      <patternFill patternType="solid">
        <fgColor rgb="FFFFF9C4"/>
        <bgColor rgb="FFFEF9E7"/>
      </patternFill>
    </fill>
    <fill>
      <patternFill patternType="solid">
        <fgColor rgb="FFEBF5FB"/>
        <bgColor rgb="FFF2F3F4"/>
      </patternFill>
    </fill>
    <fill>
      <patternFill patternType="solid">
        <fgColor rgb="FFFEF9E7"/>
        <bgColor rgb="FFF2F3F4"/>
      </patternFill>
    </fill>
    <fill>
      <patternFill patternType="solid">
        <fgColor rgb="FFD5F5E3"/>
        <bgColor rgb="FFD6EAF8"/>
      </patternFill>
    </fill>
    <fill>
      <patternFill patternType="solid">
        <fgColor rgb="FF1E8449"/>
        <bgColor rgb="FF008080"/>
      </patternFill>
    </fill>
    <fill>
      <patternFill patternType="solid">
        <fgColor rgb="FFE67E22"/>
        <bgColor rgb="FFFF9900"/>
      </patternFill>
    </fill>
    <fill>
      <patternFill patternType="solid">
        <fgColor rgb="FFC0392B"/>
        <bgColor rgb="FF993366"/>
      </patternFill>
    </fill>
    <fill>
      <patternFill patternType="solid">
        <fgColor rgb="FFFADBD8"/>
        <bgColor rgb="FFD9D9D9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/>
        <bgColor rgb="FFD5F5E3"/>
      </patternFill>
    </fill>
    <fill>
      <patternFill patternType="solid">
        <fgColor theme="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1A5276"/>
        <bgColor indexed="64"/>
      </patternFill>
    </fill>
    <fill>
      <patternFill patternType="solid">
        <fgColor rgb="FF1A5276"/>
      </patternFill>
    </fill>
    <fill>
      <patternFill patternType="solid">
        <fgColor rgb="FF154360"/>
      </patternFill>
    </fill>
    <fill>
      <patternFill patternType="solid">
        <fgColor rgb="FF922B21"/>
      </patternFill>
    </fill>
    <fill>
      <patternFill patternType="solid">
        <fgColor rgb="FFF2F3F4"/>
      </patternFill>
    </fill>
    <fill>
      <patternFill patternType="solid">
        <fgColor rgb="FFEBF5FB"/>
      </patternFill>
    </fill>
    <fill>
      <patternFill patternType="solid">
        <fgColor rgb="FF2C3E50"/>
      </patternFill>
    </fill>
    <fill>
      <patternFill patternType="solid">
        <fgColor rgb="FF641E16"/>
      </patternFill>
    </fill>
    <fill>
      <patternFill patternType="solid">
        <fgColor rgb="FFFADBD8"/>
      </patternFill>
    </fill>
    <fill>
      <patternFill patternType="solid">
        <fgColor rgb="FFFDEBD0"/>
      </patternFill>
    </fill>
    <fill>
      <patternFill patternType="solid">
        <fgColor rgb="FF7B241C"/>
      </patternFill>
    </fill>
    <fill>
      <patternFill patternType="solid">
        <fgColor rgb="FFD5F5E3"/>
      </patternFill>
    </fill>
    <fill>
      <patternFill patternType="solid">
        <fgColor rgb="FFD35400"/>
      </patternFill>
    </fill>
    <fill>
      <patternFill patternType="solid">
        <fgColor rgb="FFA04000"/>
      </patternFill>
    </fill>
    <fill>
      <patternFill patternType="solid">
        <fgColor rgb="FFFEF9E7"/>
      </patternFill>
    </fill>
    <fill>
      <patternFill patternType="solid">
        <fgColor rgb="FFFCF3CF"/>
      </patternFill>
    </fill>
    <fill>
      <patternFill patternType="solid">
        <fgColor rgb="FFF5CBA7"/>
      </patternFill>
    </fill>
    <fill>
      <patternFill patternType="solid">
        <fgColor rgb="FFF1948A"/>
      </patternFill>
    </fill>
    <fill>
      <patternFill patternType="solid">
        <fgColor rgb="FF154360"/>
      </patternFill>
    </fill>
    <fill>
      <patternFill patternType="solid">
        <fgColor rgb="00154360"/>
      </patternFill>
    </fill>
  </fills>
  <borders count="2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thin">
        <color rgb="FFBDC3C7"/>
      </left>
      <right/>
      <top style="thin">
        <color rgb="FFBDC3C7"/>
      </top>
      <bottom style="thin">
        <color rgb="FFBDC3C7"/>
      </bottom>
      <diagonal/>
    </border>
    <border>
      <left style="thin">
        <color rgb="FFD5D8DC"/>
      </left>
      <right/>
      <top style="thin">
        <color rgb="FFD5D8DC"/>
      </top>
      <bottom style="thin">
        <color rgb="FFD5D8DC"/>
      </bottom>
      <diagonal/>
    </border>
    <border>
      <left/>
      <right/>
      <top style="thin">
        <color rgb="FFD5D8DC"/>
      </top>
      <bottom/>
      <diagonal/>
    </border>
    <border>
      <left style="thin">
        <color rgb="FFBDC3C7"/>
      </left>
      <right style="thin">
        <color rgb="FFD5D8DC"/>
      </right>
      <top style="thin">
        <color rgb="FFBDC3C7"/>
      </top>
      <bottom style="thin">
        <color rgb="FFBDC3C7"/>
      </bottom>
      <diagonal/>
    </border>
    <border>
      <left/>
      <right/>
      <top/>
      <bottom style="thin">
        <color rgb="FFBDC3C7"/>
      </bottom>
      <diagonal/>
    </border>
    <border>
      <left style="thin">
        <color rgb="FFBDC3C7"/>
      </left>
      <right/>
      <top/>
      <bottom/>
      <diagonal/>
    </border>
    <border>
      <left style="thin">
        <color rgb="FFBDC3C7"/>
      </left>
      <right/>
      <top/>
      <bottom style="thin">
        <color rgb="FFBDC3C7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/>
      <diagonal/>
    </border>
    <border>
      <left style="medium">
        <color rgb="FFBDC3C7"/>
      </left>
      <right style="thin">
        <color rgb="FFBDC3C7"/>
      </right>
      <top style="medium">
        <color rgb="FFBDC3C7"/>
      </top>
      <bottom style="medium">
        <color rgb="FFBDC3C7"/>
      </bottom>
      <diagonal/>
    </border>
    <border>
      <left style="thin">
        <color rgb="FFBDC3C7"/>
      </left>
      <right style="thin">
        <color rgb="FFBDC3C7"/>
      </right>
      <top style="medium">
        <color rgb="FFBDC3C7"/>
      </top>
      <bottom style="medium">
        <color rgb="FFBDC3C7"/>
      </bottom>
      <diagonal/>
    </border>
    <border>
      <left style="thin">
        <color rgb="FFBDC3C7"/>
      </left>
      <right style="medium">
        <color rgb="FFBDC3C7"/>
      </right>
      <top style="medium">
        <color rgb="FFBDC3C7"/>
      </top>
      <bottom style="medium">
        <color rgb="FFBDC3C7"/>
      </bottom>
      <diagonal/>
    </border>
    <border>
      <left/>
      <right style="thin">
        <color rgb="FFBDC3C7"/>
      </right>
      <top style="thin">
        <color rgb="FFBDC3C7"/>
      </top>
      <bottom/>
      <diagonal/>
    </border>
    <border>
      <left/>
      <right style="thin">
        <color rgb="FFBDC3C7"/>
      </right>
      <top/>
      <bottom/>
      <diagonal/>
    </border>
    <border>
      <left/>
      <right style="thin">
        <color rgb="FFBDC3C7"/>
      </right>
      <top/>
      <bottom style="thin">
        <color rgb="FFBDC3C7"/>
      </bottom>
      <diagonal/>
    </border>
    <border>
      <left/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thin">
        <color rgb="FFBDC3C7"/>
      </left>
      <right style="thin">
        <color rgb="FFBDC3C7"/>
      </right>
      <top/>
      <bottom/>
      <diagonal/>
    </border>
    <border>
      <left/>
      <right/>
      <top style="thin">
        <color rgb="FFBDC3C7"/>
      </top>
      <bottom style="thin">
        <color rgb="FFBDC3C7"/>
      </bottom>
      <diagonal/>
    </border>
    <border>
      <left/>
      <right/>
      <top style="thin">
        <color rgb="FFD5D8DC"/>
      </top>
      <bottom style="thin">
        <color rgb="FFD5D8DC"/>
      </bottom>
      <diagonal/>
    </border>
    <border>
      <left/>
      <right style="thin">
        <color rgb="FFD5D8DC"/>
      </right>
      <top style="thin">
        <color rgb="FFBDC3C7"/>
      </top>
      <bottom style="thin">
        <color rgb="FFBDC3C7"/>
      </bottom>
      <diagonal/>
    </border>
    <border>
      <left/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/>
      <right style="thin">
        <color rgb="FFD5D8DC"/>
      </right>
      <top style="thin">
        <color rgb="FFD5D8DC"/>
      </top>
      <bottom/>
      <diagonal/>
    </border>
    <border>
      <left/>
      <right/>
      <top style="thin">
        <color rgb="FFBDC3C7"/>
      </top>
      <bottom/>
      <diagonal/>
    </border>
    <border>
      <left/>
      <right style="thin">
        <color rgb="FFD5D8DC"/>
      </right>
      <top style="thin">
        <color rgb="FFBDC3C7"/>
      </top>
      <bottom/>
      <diagonal/>
    </border>
  </borders>
  <cellStyleXfs count="2">
    <xf numFmtId="0" fontId="52" fillId="0" borderId="0"/>
    <xf numFmtId="9" fontId="52" fillId="0" borderId="0"/>
  </cellStyleXfs>
  <cellXfs count="278">
    <xf numFmtId="0" fontId="0" fillId="0" borderId="0" pivotButton="0" quotePrefix="0" xfId="0"/>
    <xf numFmtId="0" fontId="3" fillId="2" borderId="0" pivotButton="0" quotePrefix="0" xfId="0"/>
    <xf numFmtId="0" fontId="0" fillId="4" borderId="1" pivotButton="0" quotePrefix="0" xfId="0"/>
    <xf numFmtId="0" fontId="4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11" fillId="0" borderId="1" applyAlignment="1" pivotButton="0" quotePrefix="0" xfId="0">
      <alignment horizontal="left" vertical="center"/>
    </xf>
    <xf numFmtId="0" fontId="20" fillId="2" borderId="1" applyAlignment="1" pivotButton="0" quotePrefix="0" xfId="0">
      <alignment horizontal="center" vertical="center"/>
    </xf>
    <xf numFmtId="0" fontId="20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20" fillId="3" borderId="1" applyAlignment="1" pivotButton="0" quotePrefix="0" xfId="0">
      <alignment horizontal="center" vertical="center"/>
    </xf>
    <xf numFmtId="0" fontId="16" fillId="5" borderId="1" applyAlignment="1" pivotButton="0" quotePrefix="0" xfId="0">
      <alignment horizontal="center" vertical="center"/>
    </xf>
    <xf numFmtId="164" fontId="16" fillId="5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27" fillId="10" borderId="1" applyAlignment="1" pivotButton="0" quotePrefix="0" xfId="0">
      <alignment horizontal="center" vertical="center"/>
    </xf>
    <xf numFmtId="0" fontId="16" fillId="6" borderId="1" applyAlignment="1" pivotButton="0" quotePrefix="0" xfId="0">
      <alignment horizontal="center" vertical="center"/>
    </xf>
    <xf numFmtId="164" fontId="16" fillId="6" borderId="1" applyAlignment="1" pivotButton="0" quotePrefix="0" xfId="0">
      <alignment horizontal="center" vertical="center"/>
    </xf>
    <xf numFmtId="165" fontId="16" fillId="6" borderId="1" applyAlignment="1" pivotButton="0" quotePrefix="0" xfId="0">
      <alignment horizontal="center" vertical="center"/>
    </xf>
    <xf numFmtId="0" fontId="28" fillId="5" borderId="1" applyAlignment="1" pivotButton="0" quotePrefix="0" xfId="0">
      <alignment horizontal="center" vertical="center"/>
    </xf>
    <xf numFmtId="0" fontId="28" fillId="9" borderId="1" applyAlignment="1" pivotButton="0" quotePrefix="0" xfId="0">
      <alignment horizontal="left" vertical="center"/>
    </xf>
    <xf numFmtId="0" fontId="28" fillId="9" borderId="1" applyAlignment="1" pivotButton="0" quotePrefix="0" xfId="0">
      <alignment horizontal="center" vertical="center"/>
    </xf>
    <xf numFmtId="3" fontId="28" fillId="5" borderId="1" applyAlignment="1" pivotButton="0" quotePrefix="0" xfId="0">
      <alignment horizontal="center" vertical="center"/>
    </xf>
    <xf numFmtId="166" fontId="28" fillId="5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164" fontId="30" fillId="5" borderId="1" applyAlignment="1" pivotButton="0" quotePrefix="0" xfId="0">
      <alignment horizontal="center" vertical="center"/>
    </xf>
    <xf numFmtId="4" fontId="30" fillId="5" borderId="1" applyAlignment="1" pivotButton="0" quotePrefix="0" xfId="0">
      <alignment horizontal="center" vertical="center"/>
    </xf>
    <xf numFmtId="0" fontId="28" fillId="6" borderId="1" applyAlignment="1" pivotButton="0" quotePrefix="0" xfId="0">
      <alignment horizontal="center" vertical="center"/>
    </xf>
    <xf numFmtId="0" fontId="28" fillId="14" borderId="1" applyAlignment="1" pivotButton="0" quotePrefix="0" xfId="0">
      <alignment horizontal="left" vertical="center"/>
    </xf>
    <xf numFmtId="0" fontId="28" fillId="14" borderId="1" applyAlignment="1" pivotButton="0" quotePrefix="0" xfId="0">
      <alignment horizontal="center" vertical="center"/>
    </xf>
    <xf numFmtId="3" fontId="28" fillId="6" borderId="1" applyAlignment="1" pivotButton="0" quotePrefix="0" xfId="0">
      <alignment horizontal="center" vertical="center"/>
    </xf>
    <xf numFmtId="166" fontId="28" fillId="6" borderId="1" applyAlignment="1" pivotButton="0" quotePrefix="0" xfId="0">
      <alignment horizontal="center" vertical="center"/>
    </xf>
    <xf numFmtId="0" fontId="31" fillId="2" borderId="6" applyAlignment="1" pivotButton="0" quotePrefix="0" xfId="0">
      <alignment horizontal="center" vertical="center"/>
    </xf>
    <xf numFmtId="0" fontId="20" fillId="3" borderId="1" applyAlignment="1" pivotButton="0" quotePrefix="0" xfId="0">
      <alignment horizontal="center" vertical="center" wrapText="1"/>
    </xf>
    <xf numFmtId="0" fontId="31" fillId="2" borderId="0" applyAlignment="1" pivotButton="0" quotePrefix="0" xfId="0">
      <alignment horizontal="center" vertical="center"/>
    </xf>
    <xf numFmtId="0" fontId="33" fillId="14" borderId="1" pivotButton="0" quotePrefix="0" xfId="0"/>
    <xf numFmtId="0" fontId="32" fillId="5" borderId="1" pivotButton="0" quotePrefix="0" xfId="0"/>
    <xf numFmtId="0" fontId="33" fillId="9" borderId="1" pivotButton="0" quotePrefix="0" xfId="0"/>
    <xf numFmtId="0" fontId="33" fillId="4" borderId="1" pivotButton="0" quotePrefix="0" xfId="0"/>
    <xf numFmtId="0" fontId="32" fillId="5" borderId="1" applyAlignment="1" pivotButton="0" quotePrefix="0" xfId="0">
      <alignment horizontal="center"/>
    </xf>
    <xf numFmtId="164" fontId="32" fillId="5" borderId="1" applyAlignment="1" pivotButton="0" quotePrefix="0" xfId="0">
      <alignment horizontal="center"/>
    </xf>
    <xf numFmtId="0" fontId="33" fillId="14" borderId="1" applyAlignment="1" pivotButton="0" quotePrefix="0" xfId="0">
      <alignment horizontal="center"/>
    </xf>
    <xf numFmtId="3" fontId="32" fillId="14" borderId="1" applyAlignment="1" pivotButton="0" quotePrefix="0" xfId="0">
      <alignment horizontal="center"/>
    </xf>
    <xf numFmtId="0" fontId="32" fillId="6" borderId="1" applyAlignment="1" pivotButton="0" quotePrefix="0" xfId="0">
      <alignment horizontal="center"/>
    </xf>
    <xf numFmtId="164" fontId="32" fillId="6" borderId="1" applyAlignment="1" pivotButton="0" quotePrefix="0" xfId="0">
      <alignment horizontal="center"/>
    </xf>
    <xf numFmtId="0" fontId="33" fillId="9" borderId="1" applyAlignment="1" pivotButton="0" quotePrefix="0" xfId="0">
      <alignment horizontal="center"/>
    </xf>
    <xf numFmtId="3" fontId="32" fillId="9" borderId="1" applyAlignment="1" pivotButton="0" quotePrefix="0" xfId="0">
      <alignment horizontal="center"/>
    </xf>
    <xf numFmtId="0" fontId="32" fillId="5" borderId="1" applyAlignment="1" pivotButton="0" quotePrefix="0" xfId="0">
      <alignment horizontal="left"/>
    </xf>
    <xf numFmtId="3" fontId="32" fillId="5" borderId="1" applyAlignment="1" pivotButton="0" quotePrefix="0" xfId="0">
      <alignment horizontal="center"/>
    </xf>
    <xf numFmtId="166" fontId="32" fillId="5" borderId="1" applyAlignment="1" pivotButton="0" quotePrefix="0" xfId="0">
      <alignment horizontal="center"/>
    </xf>
    <xf numFmtId="0" fontId="32" fillId="6" borderId="1" applyAlignment="1" pivotButton="0" quotePrefix="0" xfId="0">
      <alignment horizontal="left"/>
    </xf>
    <xf numFmtId="3" fontId="32" fillId="6" borderId="1" applyAlignment="1" pivotButton="0" quotePrefix="0" xfId="0">
      <alignment horizontal="center"/>
    </xf>
    <xf numFmtId="166" fontId="32" fillId="6" borderId="1" applyAlignment="1" pivotButton="0" quotePrefix="0" xfId="0">
      <alignment horizontal="center"/>
    </xf>
    <xf numFmtId="0" fontId="38" fillId="17" borderId="1" pivotButton="0" quotePrefix="0" xfId="0"/>
    <xf numFmtId="0" fontId="39" fillId="18" borderId="1" applyAlignment="1" pivotButton="0" quotePrefix="0" xfId="0">
      <alignment horizontal="center"/>
    </xf>
    <xf numFmtId="0" fontId="39" fillId="17" borderId="1" applyAlignment="1" pivotButton="0" quotePrefix="0" xfId="0">
      <alignment horizontal="center"/>
    </xf>
    <xf numFmtId="164" fontId="4" fillId="15" borderId="1" applyAlignment="1" pivotButton="0" quotePrefix="0" xfId="0">
      <alignment horizontal="center"/>
    </xf>
    <xf numFmtId="164" fontId="9" fillId="15" borderId="1" applyAlignment="1" pivotButton="0" quotePrefix="0" xfId="0">
      <alignment horizontal="center"/>
    </xf>
    <xf numFmtId="164" fontId="4" fillId="19" borderId="1" applyAlignment="1" pivotButton="0" quotePrefix="0" xfId="0">
      <alignment horizontal="center"/>
    </xf>
    <xf numFmtId="164" fontId="9" fillId="19" borderId="1" applyAlignment="1" pivotButton="0" quotePrefix="0" xfId="0">
      <alignment horizontal="center"/>
    </xf>
    <xf numFmtId="3" fontId="6" fillId="19" borderId="1" applyAlignment="1" pivotButton="0" quotePrefix="0" xfId="0">
      <alignment horizontal="center" vertical="center"/>
    </xf>
    <xf numFmtId="167" fontId="6" fillId="19" borderId="1" applyAlignment="1" pivotButton="0" quotePrefix="0" xfId="0">
      <alignment horizontal="center" vertical="center"/>
    </xf>
    <xf numFmtId="164" fontId="6" fillId="20" borderId="1" applyAlignment="1" pivotButton="0" quotePrefix="0" xfId="0">
      <alignment horizontal="center" vertical="center"/>
    </xf>
    <xf numFmtId="165" fontId="36" fillId="20" borderId="1" applyAlignment="1" pivotButton="0" quotePrefix="0" xfId="0">
      <alignment horizontal="center" vertical="center"/>
    </xf>
    <xf numFmtId="3" fontId="6" fillId="20" borderId="1" applyAlignment="1" pivotButton="0" quotePrefix="0" xfId="0">
      <alignment horizontal="center" vertical="center"/>
    </xf>
    <xf numFmtId="164" fontId="4" fillId="20" borderId="1" applyAlignment="1" pivotButton="0" quotePrefix="0" xfId="0">
      <alignment horizontal="center"/>
    </xf>
    <xf numFmtId="164" fontId="9" fillId="20" borderId="1" applyAlignment="1" pivotButton="0" quotePrefix="0" xfId="0">
      <alignment horizontal="center"/>
    </xf>
    <xf numFmtId="164" fontId="37" fillId="20" borderId="1" applyAlignment="1" pivotButton="0" quotePrefix="0" xfId="0">
      <alignment horizontal="center"/>
    </xf>
    <xf numFmtId="165" fontId="4" fillId="16" borderId="1" applyAlignment="1" pivotButton="0" quotePrefix="0" xfId="0">
      <alignment horizontal="center"/>
    </xf>
    <xf numFmtId="164" fontId="10" fillId="16" borderId="1" applyAlignment="1" pivotButton="0" quotePrefix="0" xfId="0">
      <alignment horizontal="center"/>
    </xf>
    <xf numFmtId="164" fontId="4" fillId="20" borderId="9" applyAlignment="1" pivotButton="0" quotePrefix="0" xfId="0">
      <alignment horizontal="center"/>
    </xf>
    <xf numFmtId="164" fontId="9" fillId="20" borderId="9" applyAlignment="1" pivotButton="0" quotePrefix="0" xfId="0">
      <alignment horizontal="center"/>
    </xf>
    <xf numFmtId="164" fontId="4" fillId="19" borderId="9" applyAlignment="1" pivotButton="0" quotePrefix="0" xfId="0">
      <alignment horizontal="center"/>
    </xf>
    <xf numFmtId="164" fontId="9" fillId="19" borderId="9" applyAlignment="1" pivotButton="0" quotePrefix="0" xfId="0">
      <alignment horizontal="center"/>
    </xf>
    <xf numFmtId="164" fontId="4" fillId="15" borderId="9" applyAlignment="1" pivotButton="0" quotePrefix="0" xfId="0">
      <alignment horizontal="center"/>
    </xf>
    <xf numFmtId="164" fontId="9" fillId="15" borderId="9" applyAlignment="1" pivotButton="0" quotePrefix="0" xfId="0">
      <alignment horizontal="center"/>
    </xf>
    <xf numFmtId="164" fontId="37" fillId="20" borderId="9" applyAlignment="1" pivotButton="0" quotePrefix="0" xfId="0">
      <alignment horizontal="center"/>
    </xf>
    <xf numFmtId="165" fontId="4" fillId="16" borderId="9" applyAlignment="1" pivotButton="0" quotePrefix="0" xfId="0">
      <alignment horizontal="center"/>
    </xf>
    <xf numFmtId="164" fontId="10" fillId="16" borderId="9" applyAlignment="1" pivotButton="0" quotePrefix="0" xfId="0">
      <alignment horizontal="center"/>
    </xf>
    <xf numFmtId="3" fontId="4" fillId="20" borderId="10" applyAlignment="1" pivotButton="0" quotePrefix="0" xfId="0">
      <alignment horizontal="center"/>
    </xf>
    <xf numFmtId="3" fontId="4" fillId="19" borderId="11" applyAlignment="1" pivotButton="0" quotePrefix="0" xfId="0">
      <alignment horizontal="center"/>
    </xf>
    <xf numFmtId="3" fontId="4" fillId="20" borderId="11" applyAlignment="1" pivotButton="0" quotePrefix="0" xfId="0">
      <alignment horizontal="center"/>
    </xf>
    <xf numFmtId="3" fontId="4" fillId="15" borderId="11" applyAlignment="1" pivotButton="0" quotePrefix="0" xfId="0">
      <alignment horizontal="center"/>
    </xf>
    <xf numFmtId="3" fontId="37" fillId="20" borderId="11" applyAlignment="1" pivotButton="0" quotePrefix="0" xfId="0">
      <alignment horizontal="center"/>
    </xf>
    <xf numFmtId="165" fontId="4" fillId="16" borderId="11" applyAlignment="1" pivotButton="0" quotePrefix="0" xfId="0">
      <alignment horizontal="center"/>
    </xf>
    <xf numFmtId="0" fontId="1" fillId="2" borderId="0" applyAlignment="1" pivotButton="0" quotePrefix="0" xfId="0">
      <alignment vertical="center"/>
    </xf>
    <xf numFmtId="0" fontId="2" fillId="3" borderId="0" pivotButton="0" quotePrefix="0" xfId="0"/>
    <xf numFmtId="0" fontId="41" fillId="15" borderId="7" applyAlignment="1" pivotButton="0" quotePrefix="0" xfId="0">
      <alignment horizontal="left" vertical="center"/>
    </xf>
    <xf numFmtId="3" fontId="6" fillId="15" borderId="14" applyAlignment="1" pivotButton="0" quotePrefix="0" xfId="0">
      <alignment horizontal="center" vertical="center"/>
    </xf>
    <xf numFmtId="167" fontId="6" fillId="15" borderId="14" applyAlignment="1" pivotButton="0" quotePrefix="0" xfId="0">
      <alignment horizontal="center" vertical="center"/>
    </xf>
    <xf numFmtId="164" fontId="6" fillId="15" borderId="14" applyAlignment="1" pivotButton="0" quotePrefix="0" xfId="0">
      <alignment horizontal="center" vertical="center"/>
    </xf>
    <xf numFmtId="0" fontId="41" fillId="15" borderId="8" applyAlignment="1" pivotButton="0" quotePrefix="0" xfId="0">
      <alignment horizontal="left" vertical="center"/>
    </xf>
    <xf numFmtId="0" fontId="42" fillId="15" borderId="15" applyAlignment="1" pivotButton="0" quotePrefix="0" xfId="0">
      <alignment horizontal="left" vertical="center"/>
    </xf>
    <xf numFmtId="164" fontId="35" fillId="16" borderId="12" applyAlignment="1" pivotButton="0" quotePrefix="0" xfId="0">
      <alignment horizontal="center"/>
    </xf>
    <xf numFmtId="164" fontId="48" fillId="0" borderId="22" applyAlignment="1" pivotButton="0" quotePrefix="0" xfId="0">
      <alignment horizontal="center"/>
    </xf>
    <xf numFmtId="0" fontId="4" fillId="25" borderId="22" applyAlignment="1" pivotButton="0" quotePrefix="0" xfId="0">
      <alignment horizontal="center"/>
    </xf>
    <xf numFmtId="0" fontId="9" fillId="0" borderId="22" applyAlignment="1" pivotButton="0" quotePrefix="0" xfId="0">
      <alignment horizontal="center" vertical="center"/>
    </xf>
    <xf numFmtId="3" fontId="3" fillId="22" borderId="22" applyAlignment="1" pivotButton="0" quotePrefix="0" xfId="0">
      <alignment horizontal="center" vertical="center"/>
    </xf>
    <xf numFmtId="0" fontId="4" fillId="25" borderId="22" applyAlignment="1" pivotButton="0" quotePrefix="0" xfId="0">
      <alignment horizontal="center" vertical="center"/>
    </xf>
    <xf numFmtId="0" fontId="15" fillId="5" borderId="22" applyAlignment="1" pivotButton="0" quotePrefix="0" xfId="0">
      <alignment horizontal="left" vertical="center"/>
    </xf>
    <xf numFmtId="0" fontId="16" fillId="6" borderId="22" applyAlignment="1" pivotButton="0" quotePrefix="0" xfId="0">
      <alignment horizontal="center" vertical="center"/>
    </xf>
    <xf numFmtId="0" fontId="17" fillId="6" borderId="22" applyAlignment="1" pivotButton="0" quotePrefix="0" xfId="0">
      <alignment horizontal="left" vertical="center"/>
    </xf>
    <xf numFmtId="0" fontId="19" fillId="7" borderId="22" applyAlignment="1" pivotButton="0" quotePrefix="0" xfId="0">
      <alignment horizontal="center" vertical="center"/>
    </xf>
    <xf numFmtId="3" fontId="16" fillId="6" borderId="22" applyAlignment="1" pivotButton="0" quotePrefix="0" xfId="0">
      <alignment horizontal="center" vertical="center"/>
    </xf>
    <xf numFmtId="0" fontId="0" fillId="7" borderId="22" applyAlignment="1" pivotButton="0" quotePrefix="0" xfId="0">
      <alignment horizontal="center" vertical="center"/>
    </xf>
    <xf numFmtId="0" fontId="15" fillId="8" borderId="22" applyAlignment="1" pivotButton="0" quotePrefix="0" xfId="0">
      <alignment horizontal="center" vertical="center"/>
    </xf>
    <xf numFmtId="0" fontId="16" fillId="5" borderId="22" applyAlignment="1" pivotButton="0" quotePrefix="0" xfId="0">
      <alignment horizontal="center" vertical="center"/>
    </xf>
    <xf numFmtId="0" fontId="16" fillId="5" borderId="22" applyAlignment="1" pivotButton="0" quotePrefix="0" xfId="0">
      <alignment horizontal="left" vertical="center"/>
    </xf>
    <xf numFmtId="3" fontId="19" fillId="7" borderId="22" applyAlignment="1" pivotButton="0" quotePrefix="0" xfId="0">
      <alignment horizontal="center" vertical="center"/>
    </xf>
    <xf numFmtId="164" fontId="22" fillId="6" borderId="22" applyAlignment="1" pivotButton="0" quotePrefix="0" xfId="0">
      <alignment horizontal="center" vertical="center"/>
    </xf>
    <xf numFmtId="0" fontId="16" fillId="9" borderId="22" applyAlignment="1" pivotButton="0" quotePrefix="0" xfId="0">
      <alignment horizontal="center" vertical="center"/>
    </xf>
    <xf numFmtId="0" fontId="16" fillId="6" borderId="22" applyAlignment="1" pivotButton="0" quotePrefix="0" xfId="0">
      <alignment horizontal="left" vertical="center"/>
    </xf>
    <xf numFmtId="0" fontId="16" fillId="10" borderId="22" applyAlignment="1" pivotButton="0" quotePrefix="0" xfId="0">
      <alignment horizontal="center" vertical="center"/>
    </xf>
    <xf numFmtId="3" fontId="14" fillId="2" borderId="22" applyAlignment="1" pivotButton="0" quotePrefix="0" xfId="0">
      <alignment horizontal="center" vertical="center"/>
    </xf>
    <xf numFmtId="0" fontId="32" fillId="5" borderId="22" applyAlignment="1" pivotButton="0" quotePrefix="0" xfId="0">
      <alignment horizontal="center" vertical="center"/>
    </xf>
    <xf numFmtId="4" fontId="32" fillId="5" borderId="22" applyAlignment="1" pivotButton="0" quotePrefix="0" xfId="0">
      <alignment horizontal="center" vertical="center"/>
    </xf>
    <xf numFmtId="168" fontId="32" fillId="5" borderId="22" applyAlignment="1" pivotButton="0" quotePrefix="0" xfId="0">
      <alignment horizontal="center" vertical="center"/>
    </xf>
    <xf numFmtId="0" fontId="32" fillId="6" borderId="22" applyAlignment="1" pivotButton="0" quotePrefix="0" xfId="0">
      <alignment horizontal="center" vertical="center"/>
    </xf>
    <xf numFmtId="4" fontId="32" fillId="6" borderId="22" applyAlignment="1" pivotButton="0" quotePrefix="0" xfId="0">
      <alignment horizontal="center" vertical="center"/>
    </xf>
    <xf numFmtId="168" fontId="32" fillId="6" borderId="22" applyAlignment="1" pivotButton="0" quotePrefix="0" xfId="0">
      <alignment horizontal="center" vertical="center"/>
    </xf>
    <xf numFmtId="0" fontId="32" fillId="5" borderId="22" applyAlignment="1" pivotButton="0" quotePrefix="0" xfId="0">
      <alignment horizontal="left" vertical="center"/>
    </xf>
    <xf numFmtId="0" fontId="32" fillId="14" borderId="22" applyAlignment="1" pivotButton="0" quotePrefix="0" xfId="0">
      <alignment horizontal="center" vertical="center"/>
    </xf>
    <xf numFmtId="3" fontId="32" fillId="5" borderId="22" applyAlignment="1" pivotButton="0" quotePrefix="0" xfId="0">
      <alignment horizontal="center" vertical="center"/>
    </xf>
    <xf numFmtId="0" fontId="32" fillId="5" borderId="22" applyAlignment="1" pivotButton="0" quotePrefix="0" xfId="0">
      <alignment horizontal="left" vertical="center" wrapText="1"/>
    </xf>
    <xf numFmtId="0" fontId="32" fillId="6" borderId="22" applyAlignment="1" pivotButton="0" quotePrefix="0" xfId="0">
      <alignment horizontal="left" vertical="center"/>
    </xf>
    <xf numFmtId="0" fontId="32" fillId="9" borderId="22" applyAlignment="1" pivotButton="0" quotePrefix="0" xfId="0">
      <alignment horizontal="center" vertical="center"/>
    </xf>
    <xf numFmtId="3" fontId="32" fillId="6" borderId="22" applyAlignment="1" pivotButton="0" quotePrefix="0" xfId="0">
      <alignment horizontal="center" vertical="center"/>
    </xf>
    <xf numFmtId="0" fontId="32" fillId="6" borderId="22" applyAlignment="1" pivotButton="0" quotePrefix="0" xfId="0">
      <alignment horizontal="left" vertical="center" wrapText="1"/>
    </xf>
    <xf numFmtId="0" fontId="3" fillId="28" borderId="22" applyAlignment="1" pivotButton="0" quotePrefix="0" xfId="0">
      <alignment horizontal="center" vertical="center" wrapText="1"/>
    </xf>
    <xf numFmtId="164" fontId="3" fillId="22" borderId="22" applyAlignment="1" pivotButton="0" quotePrefix="0" xfId="0">
      <alignment horizontal="center"/>
    </xf>
    <xf numFmtId="0" fontId="3" fillId="27" borderId="22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/>
    </xf>
    <xf numFmtId="3" fontId="9" fillId="0" borderId="22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164" fontId="4" fillId="0" borderId="22" applyAlignment="1" pivotButton="0" quotePrefix="0" xfId="0">
      <alignment horizontal="center" vertical="center"/>
    </xf>
    <xf numFmtId="164" fontId="3" fillId="22" borderId="22" applyAlignment="1" pivotButton="0" quotePrefix="0" xfId="0">
      <alignment horizontal="center" vertical="center"/>
    </xf>
    <xf numFmtId="164" fontId="45" fillId="25" borderId="22" applyAlignment="1" pivotButton="0" quotePrefix="0" xfId="0">
      <alignment horizontal="center" vertical="center"/>
    </xf>
    <xf numFmtId="0" fontId="3" fillId="31" borderId="22" applyAlignment="1" pivotButton="0" quotePrefix="0" xfId="0">
      <alignment horizontal="center" vertical="center" wrapText="1"/>
    </xf>
    <xf numFmtId="0" fontId="4" fillId="29" borderId="22" applyAlignment="1" pivotButton="0" quotePrefix="0" xfId="0">
      <alignment horizontal="center" vertical="center"/>
    </xf>
    <xf numFmtId="0" fontId="4" fillId="30" borderId="22" applyAlignment="1" pivotButton="0" quotePrefix="0" xfId="0">
      <alignment horizontal="center" vertical="center"/>
    </xf>
    <xf numFmtId="0" fontId="14" fillId="3" borderId="6" applyAlignment="1" pivotButton="0" quotePrefix="0" xfId="0">
      <alignment horizontal="center"/>
    </xf>
    <xf numFmtId="0" fontId="60" fillId="39" borderId="0" pivotButton="0" quotePrefix="0" xfId="0"/>
    <xf numFmtId="0" fontId="61" fillId="0" borderId="0" pivotButton="0" quotePrefix="0" xfId="0"/>
    <xf numFmtId="165" fontId="5" fillId="20" borderId="1" applyAlignment="1" pivotButton="0" quotePrefix="0" xfId="0">
      <alignment horizontal="center" vertical="center"/>
    </xf>
    <xf numFmtId="0" fontId="0" fillId="0" borderId="16" pivotButton="0" quotePrefix="0" xfId="0"/>
    <xf numFmtId="164" fontId="9" fillId="0" borderId="22" applyAlignment="1" pivotButton="0" quotePrefix="0" xfId="0">
      <alignment horizontal="center"/>
    </xf>
    <xf numFmtId="0" fontId="0" fillId="0" borderId="21" pivotButton="0" quotePrefix="0" xfId="0"/>
    <xf numFmtId="3" fontId="5" fillId="19" borderId="1" applyAlignment="1" pivotButton="0" quotePrefix="0" xfId="0">
      <alignment horizontal="center" vertical="center"/>
    </xf>
    <xf numFmtId="0" fontId="3" fillId="28" borderId="22" applyAlignment="1" pivotButton="0" quotePrefix="0" xfId="0">
      <alignment horizontal="center" vertical="center" wrapText="1"/>
    </xf>
    <xf numFmtId="164" fontId="46" fillId="0" borderId="22" applyAlignment="1" pivotButton="0" quotePrefix="0" xfId="0">
      <alignment horizontal="center"/>
    </xf>
    <xf numFmtId="0" fontId="4" fillId="25" borderId="22" pivotButton="0" quotePrefix="0" xfId="0"/>
    <xf numFmtId="0" fontId="44" fillId="22" borderId="0" applyAlignment="1" pivotButton="0" quotePrefix="0" xfId="0">
      <alignment horizontal="center" vertical="center"/>
    </xf>
    <xf numFmtId="0" fontId="0" fillId="0" borderId="0" pivotButton="0" quotePrefix="0" xfId="0"/>
    <xf numFmtId="164" fontId="10" fillId="0" borderId="22" applyAlignment="1" pivotButton="0" quotePrefix="0" xfId="0">
      <alignment horizontal="center"/>
    </xf>
    <xf numFmtId="3" fontId="9" fillId="0" borderId="22" applyAlignment="1" pivotButton="0" quotePrefix="0" xfId="0">
      <alignment horizontal="center"/>
    </xf>
    <xf numFmtId="169" fontId="49" fillId="0" borderId="22" applyAlignment="1" pivotButton="0" quotePrefix="0" xfId="0">
      <alignment horizontal="center"/>
    </xf>
    <xf numFmtId="164" fontId="45" fillId="0" borderId="22" applyAlignment="1" pivotButton="0" quotePrefix="0" xfId="0">
      <alignment horizontal="center"/>
    </xf>
    <xf numFmtId="0" fontId="43" fillId="5" borderId="2" applyAlignment="1" pivotButton="0" quotePrefix="0" xfId="0">
      <alignment horizontal="left" vertical="center"/>
    </xf>
    <xf numFmtId="0" fontId="0" fillId="0" borderId="18" pivotButton="0" quotePrefix="0" xfId="0"/>
    <xf numFmtId="169" fontId="9" fillId="0" borderId="22" applyAlignment="1" pivotButton="0" quotePrefix="0" xfId="0">
      <alignment horizontal="center"/>
    </xf>
    <xf numFmtId="167" fontId="5" fillId="19" borderId="1" applyAlignment="1" pivotButton="0" quotePrefix="0" xfId="0">
      <alignment horizontal="center" vertical="center"/>
    </xf>
    <xf numFmtId="0" fontId="9" fillId="0" borderId="22" applyAlignment="1" pivotButton="0" quotePrefix="0" xfId="0">
      <alignment horizontal="left" wrapText="1"/>
    </xf>
    <xf numFmtId="0" fontId="0" fillId="0" borderId="19" pivotButton="0" quotePrefix="0" xfId="0"/>
    <xf numFmtId="169" fontId="0" fillId="0" borderId="22" applyAlignment="1" pivotButton="0" quotePrefix="0" xfId="0">
      <alignment horizontal="center"/>
    </xf>
    <xf numFmtId="0" fontId="3" fillId="22" borderId="22" pivotButton="0" quotePrefix="0" xfId="0"/>
    <xf numFmtId="164" fontId="3" fillId="22" borderId="22" applyAlignment="1" pivotButton="0" quotePrefix="0" xfId="0">
      <alignment horizontal="center"/>
    </xf>
    <xf numFmtId="164" fontId="47" fillId="0" borderId="22" applyAlignment="1" pivotButton="0" quotePrefix="0" xfId="0">
      <alignment horizontal="center"/>
    </xf>
    <xf numFmtId="3" fontId="5" fillId="20" borderId="2" applyAlignment="1" pivotButton="0" quotePrefix="0" xfId="0">
      <alignment horizontal="center" vertical="center"/>
    </xf>
    <xf numFmtId="164" fontId="5" fillId="20" borderId="1" applyAlignment="1" pivotButton="0" quotePrefix="0" xfId="0">
      <alignment horizontal="center" vertical="center"/>
    </xf>
    <xf numFmtId="0" fontId="3" fillId="27" borderId="2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/>
    </xf>
    <xf numFmtId="0" fontId="35" fillId="0" borderId="22" applyAlignment="1" pivotButton="0" quotePrefix="0" xfId="0">
      <alignment horizontal="center"/>
    </xf>
    <xf numFmtId="3" fontId="4" fillId="0" borderId="22" applyAlignment="1" pivotButton="0" quotePrefix="0" xfId="0">
      <alignment horizontal="center"/>
    </xf>
    <xf numFmtId="169" fontId="45" fillId="0" borderId="22" applyAlignment="1" pivotButton="0" quotePrefix="0" xfId="0">
      <alignment horizontal="center"/>
    </xf>
    <xf numFmtId="164" fontId="0" fillId="0" borderId="22" applyAlignment="1" pivotButton="0" quotePrefix="0" xfId="0">
      <alignment horizontal="center"/>
    </xf>
    <xf numFmtId="0" fontId="51" fillId="0" borderId="22" applyAlignment="1" pivotButton="0" quotePrefix="0" xfId="0">
      <alignment horizontal="center"/>
    </xf>
    <xf numFmtId="0" fontId="50" fillId="0" borderId="22" applyAlignment="1" pivotButton="0" quotePrefix="0" xfId="0">
      <alignment horizontal="left" wrapText="1"/>
    </xf>
    <xf numFmtId="165" fontId="40" fillId="15" borderId="17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7" pivotButton="0" quotePrefix="0" xfId="0"/>
    <xf numFmtId="0" fontId="44" fillId="2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/>
    </xf>
    <xf numFmtId="3" fontId="3" fillId="22" borderId="22" applyAlignment="1" pivotButton="0" quotePrefix="0" xfId="0">
      <alignment horizontal="center"/>
    </xf>
    <xf numFmtId="9" fontId="3" fillId="21" borderId="22" applyAlignment="1" pivotButton="0" quotePrefix="0" xfId="1">
      <alignment horizontal="center"/>
    </xf>
    <xf numFmtId="0" fontId="3" fillId="21" borderId="9" applyAlignment="1" pivotButton="0" quotePrefix="0" xfId="0">
      <alignment horizontal="center"/>
    </xf>
    <xf numFmtId="0" fontId="0" fillId="0" borderId="13" pivotButton="0" quotePrefix="0" xfId="0"/>
    <xf numFmtId="0" fontId="7" fillId="2" borderId="0" applyAlignment="1" pivotButton="0" quotePrefix="0" xfId="0">
      <alignment horizontal="center"/>
    </xf>
    <xf numFmtId="169" fontId="3" fillId="22" borderId="22" applyAlignment="1" pivotButton="0" quotePrefix="0" xfId="0">
      <alignment horizontal="center"/>
    </xf>
    <xf numFmtId="0" fontId="51" fillId="37" borderId="22" applyAlignment="1" pivotButton="0" quotePrefix="0" xfId="0">
      <alignment horizontal="center" vertical="center"/>
    </xf>
    <xf numFmtId="164" fontId="9" fillId="0" borderId="22" applyAlignment="1" pivotButton="0" quotePrefix="0" xfId="0">
      <alignment horizontal="center" vertical="center"/>
    </xf>
    <xf numFmtId="3" fontId="9" fillId="0" borderId="22" applyAlignment="1" pivotButton="0" quotePrefix="0" xfId="0">
      <alignment horizontal="center" vertical="center"/>
    </xf>
    <xf numFmtId="3" fontId="5" fillId="0" borderId="22" applyAlignment="1" pivotButton="0" quotePrefix="0" xfId="0">
      <alignment horizontal="center" vertical="center"/>
    </xf>
    <xf numFmtId="169" fontId="49" fillId="0" borderId="22" applyAlignment="1" pivotButton="0" quotePrefix="0" xfId="0">
      <alignment horizontal="center" vertical="center"/>
    </xf>
    <xf numFmtId="3" fontId="51" fillId="0" borderId="22" applyAlignment="1" pivotButton="0" quotePrefix="0" xfId="0">
      <alignment horizontal="center" vertical="center"/>
    </xf>
    <xf numFmtId="0" fontId="44" fillId="24" borderId="22" applyAlignment="1" pivotButton="0" quotePrefix="0" xfId="0">
      <alignment horizontal="center" vertical="center"/>
    </xf>
    <xf numFmtId="3" fontId="4" fillId="0" borderId="22" applyAlignment="1" pivotButton="0" quotePrefix="0" xfId="0">
      <alignment horizontal="center" vertical="center"/>
    </xf>
    <xf numFmtId="0" fontId="50" fillId="0" borderId="22" applyAlignment="1" pivotButton="0" quotePrefix="0" xfId="0">
      <alignment horizontal="left" vertical="center" wrapText="1"/>
    </xf>
    <xf numFmtId="0" fontId="4" fillId="0" borderId="22" applyAlignment="1" pivotButton="0" quotePrefix="0" xfId="0">
      <alignment horizontal="center" vertical="center"/>
    </xf>
    <xf numFmtId="0" fontId="56" fillId="25" borderId="22" applyAlignment="1" pivotButton="0" quotePrefix="0" xfId="0">
      <alignment horizontal="center" vertical="center"/>
    </xf>
    <xf numFmtId="3" fontId="45" fillId="0" borderId="22" applyAlignment="1" pivotButton="0" quotePrefix="0" xfId="0">
      <alignment horizontal="center" vertical="center"/>
    </xf>
    <xf numFmtId="3" fontId="56" fillId="0" borderId="22" applyAlignment="1" pivotButton="0" quotePrefix="0" xfId="0">
      <alignment horizontal="center" vertical="center"/>
    </xf>
    <xf numFmtId="3" fontId="35" fillId="0" borderId="22" applyAlignment="1" pivotButton="0" quotePrefix="0" xfId="0">
      <alignment horizontal="center" vertical="center"/>
    </xf>
    <xf numFmtId="164" fontId="4" fillId="0" borderId="22" applyAlignment="1" pivotButton="0" quotePrefix="0" xfId="0">
      <alignment horizontal="center" vertical="center"/>
    </xf>
    <xf numFmtId="0" fontId="4" fillId="25" borderId="22" applyAlignment="1" pivotButton="0" quotePrefix="0" xfId="0">
      <alignment horizontal="center" vertical="center" wrapText="1"/>
    </xf>
    <xf numFmtId="169" fontId="57" fillId="26" borderId="22" applyAlignment="1" pivotButton="0" quotePrefix="0" xfId="0">
      <alignment horizontal="center" vertical="center"/>
    </xf>
    <xf numFmtId="164" fontId="3" fillId="22" borderId="22" applyAlignment="1" pivotButton="0" quotePrefix="0" xfId="0">
      <alignment horizontal="center" vertical="center"/>
    </xf>
    <xf numFmtId="0" fontId="3" fillId="34" borderId="22" applyAlignment="1" pivotButton="0" quotePrefix="0" xfId="0">
      <alignment horizontal="center" vertical="center" wrapText="1"/>
    </xf>
    <xf numFmtId="0" fontId="49" fillId="38" borderId="22" applyAlignment="1" pivotButton="0" quotePrefix="0" xfId="0">
      <alignment horizontal="center" vertical="center"/>
    </xf>
    <xf numFmtId="0" fontId="3" fillId="22" borderId="22" applyAlignment="1" pivotButton="0" quotePrefix="0" xfId="0">
      <alignment horizontal="center" vertical="center"/>
    </xf>
    <xf numFmtId="169" fontId="51" fillId="0" borderId="22" applyAlignment="1" pivotButton="0" quotePrefix="0" xfId="0">
      <alignment horizontal="center" vertical="center"/>
    </xf>
    <xf numFmtId="164" fontId="35" fillId="26" borderId="22" applyAlignment="1" pivotButton="0" quotePrefix="0" xfId="0">
      <alignment horizontal="center" vertical="center"/>
    </xf>
    <xf numFmtId="3" fontId="5" fillId="35" borderId="22" applyAlignment="1" pivotButton="0" quotePrefix="0" xfId="0">
      <alignment horizontal="center" vertical="center"/>
    </xf>
    <xf numFmtId="164" fontId="45" fillId="25" borderId="22" applyAlignment="1" pivotButton="0" quotePrefix="0" xfId="0">
      <alignment horizontal="center" vertical="center"/>
    </xf>
    <xf numFmtId="0" fontId="44" fillId="27" borderId="22" applyAlignment="1" pivotButton="0" quotePrefix="0" xfId="0">
      <alignment horizontal="center" vertical="center"/>
    </xf>
    <xf numFmtId="3" fontId="5" fillId="29" borderId="22" applyAlignment="1" pivotButton="0" quotePrefix="0" xfId="0">
      <alignment horizontal="center" vertical="center"/>
    </xf>
    <xf numFmtId="0" fontId="3" fillId="31" borderId="22" applyAlignment="1" pivotButton="0" quotePrefix="0" xfId="0">
      <alignment horizontal="center" vertical="center" wrapText="1"/>
    </xf>
    <xf numFmtId="169" fontId="4" fillId="0" borderId="22" applyAlignment="1" pivotButton="0" quotePrefix="0" xfId="0">
      <alignment horizontal="center" vertical="center"/>
    </xf>
    <xf numFmtId="169" fontId="35" fillId="0" borderId="22" applyAlignment="1" pivotButton="0" quotePrefix="0" xfId="0">
      <alignment horizontal="center" vertical="center"/>
    </xf>
    <xf numFmtId="164" fontId="45" fillId="0" borderId="22" applyAlignment="1" pivotButton="0" quotePrefix="0" xfId="0">
      <alignment horizontal="center" vertical="center"/>
    </xf>
    <xf numFmtId="164" fontId="55" fillId="26" borderId="22" applyAlignment="1" pivotButton="0" quotePrefix="0" xfId="0">
      <alignment horizontal="center" vertical="center"/>
    </xf>
    <xf numFmtId="0" fontId="9" fillId="0" borderId="22" applyAlignment="1" pivotButton="0" quotePrefix="0" xfId="0">
      <alignment horizontal="left" vertical="center" wrapText="1"/>
    </xf>
    <xf numFmtId="0" fontId="35" fillId="29" borderId="22" applyAlignment="1" pivotButton="0" quotePrefix="0" xfId="0">
      <alignment horizontal="center" vertical="center"/>
    </xf>
    <xf numFmtId="0" fontId="51" fillId="30" borderId="22" applyAlignment="1" pivotButton="0" quotePrefix="0" xfId="0">
      <alignment horizontal="center" vertical="center"/>
    </xf>
    <xf numFmtId="169" fontId="51" fillId="30" borderId="22" applyAlignment="1" pivotButton="0" quotePrefix="0" xfId="0">
      <alignment horizontal="center" vertical="center"/>
    </xf>
    <xf numFmtId="0" fontId="6" fillId="0" borderId="22" applyAlignment="1" pivotButton="0" quotePrefix="0" xfId="0">
      <alignment horizontal="center" vertical="center"/>
    </xf>
    <xf numFmtId="0" fontId="4" fillId="29" borderId="22" applyAlignment="1" pivotButton="0" quotePrefix="0" xfId="0">
      <alignment horizontal="center" vertical="center"/>
    </xf>
    <xf numFmtId="0" fontId="4" fillId="35" borderId="22" applyAlignment="1" pivotButton="0" quotePrefix="0" xfId="0">
      <alignment horizontal="center" vertical="center"/>
    </xf>
    <xf numFmtId="3" fontId="45" fillId="26" borderId="22" applyAlignment="1" pivotButton="0" quotePrefix="0" xfId="0">
      <alignment horizontal="center" vertical="center"/>
    </xf>
    <xf numFmtId="0" fontId="59" fillId="36" borderId="22" applyAlignment="1" pivotButton="0" quotePrefix="0" xfId="0">
      <alignment horizontal="center" vertical="center"/>
    </xf>
    <xf numFmtId="0" fontId="45" fillId="25" borderId="22" applyAlignment="1" pivotButton="0" quotePrefix="0" xfId="0">
      <alignment horizontal="center" vertical="center"/>
    </xf>
    <xf numFmtId="0" fontId="4" fillId="30" borderId="22" applyAlignment="1" pivotButton="0" quotePrefix="0" xfId="0">
      <alignment horizontal="center" vertical="center"/>
    </xf>
    <xf numFmtId="169" fontId="58" fillId="32" borderId="22" applyAlignment="1" pivotButton="0" quotePrefix="0" xfId="0">
      <alignment horizontal="center" vertical="center"/>
    </xf>
    <xf numFmtId="164" fontId="45" fillId="26" borderId="22" applyAlignment="1" pivotButton="0" quotePrefix="0" xfId="0">
      <alignment horizontal="center" vertical="center"/>
    </xf>
    <xf numFmtId="164" fontId="56" fillId="26" borderId="22" applyAlignment="1" pivotButton="0" quotePrefix="0" xfId="0">
      <alignment horizontal="center" vertical="center"/>
    </xf>
    <xf numFmtId="0" fontId="53" fillId="22" borderId="22" applyAlignment="1" pivotButton="0" quotePrefix="0" xfId="0">
      <alignment horizontal="center" vertical="center"/>
    </xf>
    <xf numFmtId="0" fontId="44" fillId="33" borderId="22" applyAlignment="1" pivotButton="0" quotePrefix="0" xfId="0">
      <alignment horizontal="center" vertical="center"/>
    </xf>
    <xf numFmtId="164" fontId="45" fillId="29" borderId="22" applyAlignment="1" pivotButton="0" quotePrefix="0" xfId="0">
      <alignment horizontal="center" vertical="center"/>
    </xf>
    <xf numFmtId="169" fontId="56" fillId="0" borderId="22" applyAlignment="1" pivotButton="0" quotePrefix="0" xfId="0">
      <alignment horizontal="center" vertical="center"/>
    </xf>
    <xf numFmtId="3" fontId="5" fillId="30" borderId="22" applyAlignment="1" pivotButton="0" quotePrefix="0" xfId="0">
      <alignment horizontal="center" vertical="center"/>
    </xf>
    <xf numFmtId="0" fontId="54" fillId="23" borderId="22" applyAlignment="1" pivotButton="0" quotePrefix="0" xfId="0">
      <alignment horizontal="center" vertical="center"/>
    </xf>
    <xf numFmtId="164" fontId="51" fillId="30" borderId="22" applyAlignment="1" pivotButton="0" quotePrefix="0" xfId="0">
      <alignment horizontal="center" vertical="center"/>
    </xf>
    <xf numFmtId="164" fontId="51" fillId="26" borderId="22" applyAlignment="1" pivotButton="0" quotePrefix="0" xfId="0">
      <alignment horizontal="center" vertical="center"/>
    </xf>
    <xf numFmtId="164" fontId="35" fillId="29" borderId="22" applyAlignment="1" pivotButton="0" quotePrefix="0" xfId="0">
      <alignment horizontal="center" vertical="center"/>
    </xf>
    <xf numFmtId="169" fontId="35" fillId="29" borderId="22" applyAlignment="1" pivotButton="0" quotePrefix="0" xfId="0">
      <alignment horizontal="center" vertical="center"/>
    </xf>
    <xf numFmtId="164" fontId="45" fillId="30" borderId="22" applyAlignment="1" pivotButton="0" quotePrefix="0" xfId="0">
      <alignment horizontal="center" vertical="center"/>
    </xf>
    <xf numFmtId="164" fontId="56" fillId="25" borderId="22" applyAlignment="1" pivotButton="0" quotePrefix="0" xfId="0">
      <alignment horizontal="center" vertical="center"/>
    </xf>
    <xf numFmtId="169" fontId="56" fillId="25" borderId="22" applyAlignment="1" pivotButton="0" quotePrefix="0" xfId="0">
      <alignment horizontal="center" vertical="center"/>
    </xf>
    <xf numFmtId="164" fontId="45" fillId="35" borderId="22" applyAlignment="1" pivotButton="0" quotePrefix="0" xfId="0">
      <alignment horizontal="center" vertical="center"/>
    </xf>
    <xf numFmtId="0" fontId="44" fillId="22" borderId="22" applyAlignment="1" pivotButton="0" quotePrefix="0" xfId="0">
      <alignment horizontal="center" vertical="center"/>
    </xf>
    <xf numFmtId="0" fontId="58" fillId="32" borderId="22" applyAlignment="1" pivotButton="0" quotePrefix="0" xfId="0">
      <alignment horizontal="center" vertical="center"/>
    </xf>
    <xf numFmtId="0" fontId="44" fillId="31" borderId="22" applyAlignment="1" pivotButton="0" quotePrefix="0" xfId="0">
      <alignment horizontal="center" vertical="center"/>
    </xf>
    <xf numFmtId="0" fontId="0" fillId="6" borderId="3" pivotButton="0" quotePrefix="0" xfId="0"/>
    <xf numFmtId="0" fontId="18" fillId="6" borderId="22" applyAlignment="1" pivotButton="0" quotePrefix="0" xfId="0">
      <alignment horizontal="left" vertical="center"/>
    </xf>
    <xf numFmtId="0" fontId="21" fillId="6" borderId="4" applyAlignment="1" pivotButton="0" quotePrefix="0" xfId="0">
      <alignment horizontal="left" vertical="center"/>
    </xf>
    <xf numFmtId="0" fontId="0" fillId="0" borderId="4" pivotButton="0" quotePrefix="0" xfId="0"/>
    <xf numFmtId="0" fontId="14" fillId="3" borderId="2" applyAlignment="1" pivotButton="0" quotePrefix="0" xfId="0">
      <alignment horizontal="left" vertical="center"/>
    </xf>
    <xf numFmtId="0" fontId="14" fillId="2" borderId="5" applyAlignment="1" pivotButton="0" quotePrefix="0" xfId="0">
      <alignment horizontal="center" vertical="center"/>
    </xf>
    <xf numFmtId="0" fontId="0" fillId="0" borderId="20" pivotButton="0" quotePrefix="0" xfId="0"/>
    <xf numFmtId="0" fontId="13" fillId="3" borderId="0" applyAlignment="1" pivotButton="0" quotePrefix="0" xfId="0">
      <alignment horizontal="center" vertical="center"/>
    </xf>
    <xf numFmtId="0" fontId="12" fillId="2" borderId="0" applyAlignment="1" pivotButton="0" quotePrefix="0" xfId="0">
      <alignment horizontal="center" vertical="center"/>
    </xf>
    <xf numFmtId="0" fontId="20" fillId="13" borderId="0" applyAlignment="1" pivotButton="0" quotePrefix="0" xfId="0">
      <alignment horizontal="center" vertical="center"/>
    </xf>
    <xf numFmtId="0" fontId="25" fillId="3" borderId="0" applyAlignment="1" pivotButton="0" quotePrefix="0" xfId="0">
      <alignment horizontal="center" vertical="center"/>
    </xf>
    <xf numFmtId="0" fontId="26" fillId="2" borderId="0" applyAlignment="1" pivotButton="0" quotePrefix="0" xfId="0">
      <alignment horizontal="center" vertical="center"/>
    </xf>
    <xf numFmtId="0" fontId="25" fillId="2" borderId="0" applyAlignment="1" pivotButton="0" quotePrefix="0" xfId="0">
      <alignment horizontal="center" vertical="center"/>
    </xf>
    <xf numFmtId="0" fontId="25" fillId="13" borderId="0" applyAlignment="1" pivotButton="0" quotePrefix="0" xfId="0">
      <alignment horizontal="center" vertical="center"/>
    </xf>
    <xf numFmtId="0" fontId="20" fillId="2" borderId="0" applyAlignment="1" pivotButton="0" quotePrefix="0" xfId="0">
      <alignment horizontal="center" vertical="center"/>
    </xf>
    <xf numFmtId="0" fontId="25" fillId="12" borderId="0" applyAlignment="1" pivotButton="0" quotePrefix="0" xfId="0">
      <alignment horizontal="center" vertical="center"/>
    </xf>
    <xf numFmtId="0" fontId="20" fillId="11" borderId="0" applyAlignment="1" pivotButton="0" quotePrefix="0" xfId="0">
      <alignment horizontal="center" vertical="center"/>
    </xf>
    <xf numFmtId="0" fontId="26" fillId="2" borderId="6" applyAlignment="1" pivotButton="0" quotePrefix="0" xfId="0">
      <alignment horizontal="center" vertical="center"/>
    </xf>
    <xf numFmtId="0" fontId="0" fillId="0" borderId="6" pivotButton="0" quotePrefix="0" xfId="0"/>
    <xf numFmtId="0" fontId="23" fillId="2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center" vertical="center"/>
    </xf>
    <xf numFmtId="0" fontId="20" fillId="12" borderId="0" applyAlignment="1" pivotButton="0" quotePrefix="0" xfId="0">
      <alignment horizontal="center" vertical="center"/>
    </xf>
    <xf numFmtId="0" fontId="24" fillId="3" borderId="0" applyAlignment="1" pivotButton="0" quotePrefix="0" xfId="0">
      <alignment horizontal="center" vertical="center"/>
    </xf>
    <xf numFmtId="0" fontId="25" fillId="11" borderId="0" applyAlignment="1" pivotButton="0" quotePrefix="0" xfId="0">
      <alignment horizontal="center" vertical="center"/>
    </xf>
    <xf numFmtId="0" fontId="14" fillId="3" borderId="6" applyAlignment="1" pivotButton="0" quotePrefix="0" xfId="0">
      <alignment horizontal="center"/>
    </xf>
    <xf numFmtId="0" fontId="34" fillId="2" borderId="0" applyAlignment="1" pivotButton="0" quotePrefix="0" xfId="0">
      <alignment horizontal="center" vertical="center"/>
    </xf>
    <xf numFmtId="0" fontId="62" fillId="40" borderId="0" pivotButton="0" quotePrefix="0" xfId="0"/>
    <xf numFmtId="0" fontId="63" fillId="0" borderId="0" pivotButton="0" quotePrefix="0" xfId="0"/>
  </cellXfs>
  <cellStyles count="2">
    <cellStyle name="Normal" xfId="0" builtinId="0"/>
    <cellStyle name="Porcentaje" xfId="1" builtinId="5"/>
  </cellStyles>
  <dxfs count="179">
    <dxf>
      <font>
        <b val="1"/>
        <color rgb="FF922B21"/>
      </font>
      <fill>
        <patternFill patternType="solid">
          <fgColor rgb="FFF1948A"/>
        </patternFill>
      </fill>
    </dxf>
    <dxf>
      <font>
        <name val="Arial"/>
        <b val="1"/>
        <color rgb="FFE67E22"/>
        <sz val="9"/>
      </font>
      <fill>
        <patternFill patternType="solid">
          <fgColor rgb="FFF5CBA7"/>
        </patternFill>
      </fill>
    </dxf>
    <dxf>
      <font>
        <b val="1"/>
        <color rgb="FFB7950B"/>
      </font>
      <fill>
        <patternFill patternType="solid">
          <fgColor rgb="FFFCF3CF"/>
        </patternFill>
      </fill>
    </dxf>
    <dxf>
      <font>
        <name val="Arial"/>
        <b val="1"/>
        <color rgb="FF27AE60"/>
        <sz val="9"/>
      </font>
      <fill>
        <patternFill patternType="solid">
          <fgColor rgb="FFD5F5E3"/>
        </patternFill>
      </fill>
    </dxf>
    <dxf>
      <fill>
        <patternFill patternType="solid">
          <fgColor rgb="FFF5CBA7"/>
        </patternFill>
      </fill>
    </dxf>
    <dxf>
      <font>
        <b val="1"/>
        <color rgb="FFFFFFFF"/>
      </font>
      <fill>
        <patternFill patternType="solid">
          <fgColor rgb="FFE74C3C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CF3CF"/>
        </patternFill>
      </fill>
    </dxf>
    <dxf>
      <fill>
        <patternFill patternType="solid">
          <fgColor rgb="FFD5F5E3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CF3CF"/>
        </patternFill>
      </fill>
    </dxf>
    <dxf>
      <fill>
        <patternFill patternType="solid">
          <fgColor rgb="FFD5F5E3"/>
        </patternFill>
      </fill>
    </dxf>
    <dxf>
      <fill>
        <patternFill patternType="solid">
          <fgColor rgb="FFD5F5E3"/>
        </patternFill>
      </fill>
    </dxf>
    <dxf>
      <fill>
        <patternFill patternType="solid">
          <fgColor rgb="FFFCF3CF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CF3CF"/>
        </patternFill>
      </fill>
    </dxf>
    <dxf>
      <fill>
        <patternFill patternType="solid">
          <fgColor rgb="FFD5F5E3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CF3CF"/>
        </patternFill>
      </fill>
    </dxf>
    <dxf>
      <fill>
        <patternFill patternType="solid">
          <fgColor rgb="FFD5F5E3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CF3CF"/>
        </patternFill>
      </fill>
    </dxf>
    <dxf>
      <fill>
        <patternFill patternType="solid">
          <fgColor rgb="FFD5F5E3"/>
        </patternFill>
      </fill>
    </dxf>
    <dxf>
      <fill>
        <patternFill patternType="solid">
          <fgColor rgb="FFD5F5E3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CF3CF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CF3CF"/>
        </patternFill>
      </fill>
    </dxf>
    <dxf>
      <fill>
        <patternFill patternType="solid">
          <fgColor rgb="FFD5F5E3"/>
        </patternFill>
      </fill>
    </dxf>
    <dxf>
      <font>
        <color rgb="FFC0392B"/>
      </font>
    </dxf>
    <dxf>
      <font>
        <color rgb="FFD4AC0D"/>
      </font>
    </dxf>
    <dxf>
      <font>
        <color rgb="FF1E8449"/>
      </font>
    </dxf>
    <dxf>
      <font>
        <color rgb="FFC0392B"/>
      </font>
    </dxf>
    <dxf>
      <font>
        <color rgb="FF1E8449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D4AC0D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C0392B"/>
      </font>
    </dxf>
    <dxf>
      <font>
        <color rgb="FFD4AC0D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1E8449"/>
      </font>
    </dxf>
    <dxf>
      <font>
        <color rgb="FFD4AC0D"/>
      </font>
    </dxf>
    <dxf>
      <font>
        <color rgb="FFC0392B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D4AC0D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1E8449"/>
      </font>
    </dxf>
    <dxf>
      <font>
        <color rgb="FFD4AC0D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E67E22"/>
      </font>
    </dxf>
    <dxf>
      <font>
        <color rgb="FFC0392B"/>
      </font>
    </dxf>
    <dxf>
      <font>
        <color rgb="FF1E8449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9999FF"/>
      <rgbColor rgb="FF993366"/>
      <rgbColor rgb="FFFFF9C4"/>
      <rgbColor rgb="FFD6EAF8"/>
      <rgbColor rgb="FF660066"/>
      <rgbColor rgb="FFFF8080"/>
      <rgbColor rgb="FF0066CC"/>
      <rgbColor rgb="FFD5D8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5FB"/>
      <rgbColor rgb="FFD5F5E3"/>
      <rgbColor rgb="FFFEF9E7"/>
      <rgbColor rgb="FFD9D9D9"/>
      <rgbColor rgb="FFF2F3F4"/>
      <rgbColor rgb="FFCC99FF"/>
      <rgbColor rgb="FFFADBD8"/>
      <rgbColor rgb="FF4F81BD"/>
      <rgbColor rgb="FF33CCCC"/>
      <rgbColor rgb="FF99CC00"/>
      <rgbColor rgb="FFFFCC00"/>
      <rgbColor rgb="FFFF9900"/>
      <rgbColor rgb="FFE67E22"/>
      <rgbColor rgb="FF566573"/>
      <rgbColor rgb="FF7F8C8D"/>
      <rgbColor rgb="FF154360"/>
      <rgbColor rgb="FF1E8449"/>
      <rgbColor rgb="FF003300"/>
      <rgbColor rgb="FF333300"/>
      <rgbColor rgb="FFC0392B"/>
      <rgbColor rgb="FF993366"/>
      <rgbColor rgb="FF1A527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s-CL" sz="1800" b="1" strike="noStrike">
                <a:solidFill>
                  <a:srgbClr val="000000"/>
                </a:solidFill>
                <a:uFillTx/>
                <a:latin typeface="Calibri"/>
              </a:rPr>
              <a:t>Volumen m³SSC y m³/Hora por Equipo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ANALISIS!$B$4</f>
              <strCache>
                <ptCount val="1"/>
                <pt idx="0">
                  <v>Volumen m³SSC</v>
                </pt>
              </strCache>
            </strRef>
          </tx>
          <spPr>
            <a:solidFill>
              <a:srgbClr val="1A5276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s-CL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ANALISIS!$A$5:$A$6</f>
              <strCache>
                <ptCount val="2"/>
                <pt idx="0">
                  <v>T125</v>
                </pt>
                <pt idx="1">
                  <v>MG5</v>
                </pt>
              </strCache>
            </strRef>
          </cat>
          <val>
            <numRef>
              <f>ANALISIS!$B$5:$B$6</f>
              <numCache>
                <formatCode>#,##0.0</formatCode>
                <ptCount val="2"/>
                <pt idx="0">
                  <v>3086.840000000001</v>
                </pt>
                <pt idx="1">
                  <v>2176.09</v>
                </pt>
              </numCache>
            </numRef>
          </val>
        </ser>
        <ser>
          <idx val="1"/>
          <order val="1"/>
          <tx>
            <strRef>
              <f>ANALISIS!$C$4</f>
              <strCache>
                <ptCount val="1"/>
                <pt idx="0">
                  <v>m³/Hora</v>
                </pt>
              </strCache>
            </strRef>
          </tx>
          <spPr>
            <a:solidFill>
              <a:srgbClr val="1E8449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s-CL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ANALISIS!$A$5:$A$6</f>
              <strCache>
                <ptCount val="2"/>
                <pt idx="0">
                  <v>T125</v>
                </pt>
                <pt idx="1">
                  <v>MG5</v>
                </pt>
              </strCache>
            </strRef>
          </cat>
          <val>
            <numRef>
              <f>ANALISIS!$C$5:$C$6</f>
              <numCache>
                <formatCode>#,##0.0</formatCode>
                <ptCount val="2"/>
                <pt idx="0">
                  <v>1102.44</v>
                </pt>
                <pt idx="1">
                  <v>680.03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93748094"/>
        <axId val="88120486"/>
      </barChart>
      <catAx>
        <axId val="93748094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s-CL"/>
          </a:p>
        </txPr>
        <crossAx val="88120486"/>
        <crosses val="autoZero"/>
        <auto val="1"/>
        <lblAlgn val="ctr"/>
        <lblOffset val="100"/>
        <noMultiLvlLbl val="0"/>
      </catAx>
      <valAx>
        <axId val="881204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s-CL"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Valor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#,##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s-CL"/>
          </a:p>
        </txPr>
        <crossAx val="93748094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s-CL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s-CL" sz="1800" b="1" strike="noStrike">
                <a:solidFill>
                  <a:srgbClr val="000000"/>
                </a:solidFill>
                <a:uFillTx/>
                <a:latin typeface="Calibri"/>
              </a:rPr>
              <a:t>Tiempos Muertos por Clasificación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ANALISIS!$G$4</f>
              <strCache>
                <ptCount val="1"/>
                <pt idx="0">
                  <v>Minutos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C0392B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E67E22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s-CL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s-CL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s-CL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ANALISIS!$F$5:$F$6</f>
              <strCache>
                <ptCount val="2"/>
                <pt idx="0">
                  <v>Mantención</v>
                </pt>
                <pt idx="1">
                  <v>Operacional</v>
                </pt>
              </strCache>
            </strRef>
          </cat>
          <val>
            <numRef>
              <f>ANALISIS!$G$5:$G$6</f>
              <numCache>
                <formatCode>#,##0</formatCode>
                <ptCount val="2"/>
                <pt idx="0">
                  <v>15900</v>
                </pt>
                <pt idx="1">
                  <v>8940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s-CL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s-CL" sz="1800" b="1" strike="noStrike">
                <a:solidFill>
                  <a:srgbClr val="000000"/>
                </a:solidFill>
                <a:uFillTx/>
                <a:latin typeface="Calibri"/>
              </a:rPr>
              <a:t>Volumen m³SSC por Equipo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ANALISIS!$B$4</f>
              <strCache>
                <ptCount val="1"/>
                <pt idx="0">
                  <v>Volumen m³SSC</v>
                </pt>
              </strCache>
            </strRef>
          </tx>
          <spPr>
            <a:solidFill>
              <a:srgbClr val="1A5276"/>
            </a:solidFill>
            <a:ln w="12600">
              <a:solidFill>
                <a:srgbClr val="154360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s-CL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ANALISIS!$A$5:$A$6</f>
              <strCache>
                <ptCount val="2"/>
                <pt idx="0">
                  <v>T125</v>
                </pt>
                <pt idx="1">
                  <v>MG5</v>
                </pt>
              </strCache>
            </strRef>
          </cat>
          <val>
            <numRef>
              <f>ANALISIS!$B$5:$B$6</f>
              <numCache>
                <formatCode>#,##0.0</formatCode>
                <ptCount val="2"/>
                <pt idx="0">
                  <v>3086.840000000001</v>
                </pt>
                <pt idx="1">
                  <v>2176.09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5788148"/>
        <axId val="82858528"/>
      </barChart>
      <catAx>
        <axId val="45788148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s-CL"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Equipo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s-CL"/>
          </a:p>
        </txPr>
        <crossAx val="82858528"/>
        <crosses val="autoZero"/>
        <auto val="1"/>
        <lblAlgn val="ctr"/>
        <lblOffset val="100"/>
        <noMultiLvlLbl val="0"/>
      </catAx>
      <valAx>
        <axId val="82858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s-CL"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m³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#,##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s-CL"/>
          </a:p>
        </txPr>
        <crossAx val="45788148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s-CL" sz="1800" b="1" strike="noStrike">
                <a:solidFill>
                  <a:srgbClr val="000000"/>
                </a:solidFill>
                <a:uFillTx/>
                <a:latin typeface="Calibri"/>
              </a:rPr>
              <a:t>Disponibilidad % por Equipo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ANALISIS!$D$4</f>
              <strCache>
                <ptCount val="1"/>
                <pt idx="0">
                  <v>Disp. %</v>
                </pt>
              </strCache>
            </strRef>
          </tx>
          <spPr>
            <a:solidFill>
              <a:srgbClr val="1E8449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s-CL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ANALISIS!$A$5:$A$6</f>
              <strCache>
                <ptCount val="2"/>
                <pt idx="0">
                  <v>T125</v>
                </pt>
                <pt idx="1">
                  <v>MG5</v>
                </pt>
              </strCache>
            </strRef>
          </cat>
          <val>
            <numRef>
              <f>ANALISIS!$D$5:$D$6</f>
              <numCache>
                <formatCode>#,##0.0</formatCode>
                <ptCount val="2"/>
                <pt idx="0">
                  <v>99.90000000000001</v>
                </pt>
                <pt idx="1">
                  <v>99.90000000000001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86838360"/>
        <axId val="19895137"/>
      </barChart>
      <catAx>
        <axId val="86838360"/>
        <scaling>
          <orientation val="minMax"/>
        </scaling>
        <delete val="0"/>
        <axPos val="l"/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s-CL"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Disponibilidad %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s-CL"/>
          </a:p>
        </txPr>
        <crossAx val="19895137"/>
        <crosses val="autoZero"/>
        <auto val="1"/>
        <lblAlgn val="ctr"/>
        <lblOffset val="100"/>
        <noMultiLvlLbl val="0"/>
      </catAx>
      <valAx>
        <axId val="19895137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s-CL"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Equipo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#,##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s-CL"/>
          </a:p>
        </txPr>
        <crossAx val="868383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s-CL" sz="1800" b="1" strike="noStrike">
                <a:solidFill>
                  <a:srgbClr val="000000"/>
                </a:solidFill>
                <a:uFillTx/>
                <a:latin typeface="Calibri"/>
              </a:rPr>
              <a:t>Distribución Tiempos Perdidos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ANALISIS!$G$4</f>
              <strCache>
                <ptCount val="1"/>
                <pt idx="0">
                  <v>Minutos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C0392B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E67E22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s-CL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s-CL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s-CL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ANALISIS!$F$5:$F$6</f>
              <strCache>
                <ptCount val="2"/>
                <pt idx="0">
                  <v>Mantención</v>
                </pt>
                <pt idx="1">
                  <v>Operacional</v>
                </pt>
              </strCache>
            </strRef>
          </cat>
          <val>
            <numRef>
              <f>ANALISIS!$G$5:$G$6</f>
              <numCache>
                <formatCode>#,##0</formatCode>
                <ptCount val="2"/>
                <pt idx="0">
                  <v>15900</v>
                </pt>
                <pt idx="1">
                  <v>8940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s-CL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21</row>
      <rowOff>0</rowOff>
    </from>
    <to>
      <col>7</col>
      <colOff>557280</colOff>
      <row>43</row>
      <rowOff>127080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21</row>
      <rowOff>0</rowOff>
    </from>
    <to>
      <col>14</col>
      <colOff>103680</colOff>
      <row>43</row>
      <rowOff>127080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0</col>
      <colOff>0</colOff>
      <row>15</row>
      <rowOff>0</rowOff>
    </from>
    <to>
      <col>5</col>
      <colOff>1199160</colOff>
      <row>33</row>
      <rowOff>168840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4</col>
      <colOff>0</colOff>
      <row>15</row>
      <rowOff>0</rowOff>
    </from>
    <to>
      <col>10</col>
      <colOff>210240</colOff>
      <row>33</row>
      <rowOff>168840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8</col>
      <colOff>0</colOff>
      <row>15</row>
      <rowOff>0</rowOff>
    </from>
    <to>
      <col>16</col>
      <colOff>145800</colOff>
      <row>33</row>
      <rowOff>168840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64"/>
  <sheetViews>
    <sheetView tabSelected="1" zoomScale="109" zoomScaleNormal="142" workbookViewId="0">
      <selection activeCell="K24" sqref="K24"/>
    </sheetView>
  </sheetViews>
  <sheetFormatPr baseColWidth="10" defaultColWidth="8.6640625" defaultRowHeight="15" outlineLevelRow="1"/>
  <cols>
    <col width="5.83203125" customWidth="1" style="150" min="1" max="2"/>
    <col width="5.33203125" customWidth="1" style="150" min="3" max="16"/>
    <col width="6.1640625" customWidth="1" style="150" min="17" max="17"/>
    <col width="5.33203125" customWidth="1" style="150" min="18" max="18"/>
    <col width="9.5" customWidth="1" style="150" min="19" max="19"/>
    <col width="8.5" customWidth="1" style="150" min="20" max="21"/>
    <col hidden="1" width="38" customWidth="1" style="150" min="22" max="22"/>
  </cols>
  <sheetData>
    <row r="1" ht="18" customHeight="1" s="150">
      <c r="A1" s="168" t="inlineStr">
        <is>
          <t xml:space="preserve">CONTROL DE PRODUCCIÓN MENSUAL — COSECHA </t>
        </is>
      </c>
      <c r="V1" s="83" t="n"/>
    </row>
    <row r="2">
      <c r="A2" s="180">
        <f>"Período: "&amp;TEXT(DATE(DATA_CONFIG!B3,DATA_CONFIG!B2,1),"MMMM")&amp;" "&amp;DATA_CONFIG!B3&amp;"  |  Días con datos: "&amp;DATA_CONFIG!B8&amp;"  |  m³ total: "&amp;ROUND(SUM(DATA_DIARIO!C:C),1)</f>
        <v/>
      </c>
      <c r="V2" s="84" t="n"/>
    </row>
    <row r="3">
      <c r="A3" s="169" t="inlineStr">
        <is>
          <t>KPI / Día</t>
        </is>
      </c>
      <c r="B3" s="1" t="n"/>
      <c r="C3" s="169" t="inlineStr">
        <is>
          <t>Millalemu 1.1</t>
        </is>
      </c>
      <c r="E3" s="169" t="inlineStr">
        <is>
          <t>Millalemu 1.2</t>
        </is>
      </c>
      <c r="G3" s="169" t="inlineStr">
        <is>
          <t>Millalemu 1.3</t>
        </is>
      </c>
      <c r="I3" s="169" t="inlineStr">
        <is>
          <t>Millalemu 1.4</t>
        </is>
      </c>
      <c r="K3" s="169" t="inlineStr">
        <is>
          <t>Millalemu 5</t>
        </is>
      </c>
      <c r="M3" s="169" t="inlineStr">
        <is>
          <t>Millalemu 7</t>
        </is>
      </c>
      <c r="O3" s="169" t="inlineStr">
        <is>
          <t>Millalemu 9</t>
        </is>
      </c>
      <c r="Q3" s="169" t="inlineStr">
        <is>
          <t>Millalemu 11</t>
        </is>
      </c>
      <c r="S3" s="169" t="inlineStr">
        <is>
          <t>TOTAL</t>
        </is>
      </c>
      <c r="T3" s="169" t="n"/>
      <c r="U3" s="169" t="n"/>
      <c r="V3" s="169" t="inlineStr">
        <is>
          <t>Obs. Principal</t>
        </is>
      </c>
    </row>
    <row r="4" ht="13" customHeight="1" s="150">
      <c r="A4" s="155" t="inlineStr">
        <is>
          <t>Meta Mensual</t>
        </is>
      </c>
      <c r="B4" s="156" t="n"/>
      <c r="C4" s="145">
        <f>DATA_CONFIG!B12</f>
        <v/>
      </c>
      <c r="D4" s="142" t="n"/>
      <c r="E4" s="145">
        <f>DATA_CONFIG!B13</f>
        <v/>
      </c>
      <c r="F4" s="142" t="n"/>
      <c r="G4" s="145">
        <f>DATA_CONFIG!B14</f>
        <v/>
      </c>
      <c r="H4" s="142" t="n"/>
      <c r="I4" s="145">
        <f>DATA_CONFIG!B15</f>
        <v/>
      </c>
      <c r="J4" s="142" t="n"/>
      <c r="K4" s="145">
        <f>DATA_CONFIG!B16</f>
        <v/>
      </c>
      <c r="L4" s="142" t="n"/>
      <c r="M4" s="145">
        <f>DATA_CONFIG!B17</f>
        <v/>
      </c>
      <c r="N4" s="142" t="n"/>
      <c r="O4" s="145">
        <f>DATA_CONFIG!B18</f>
        <v/>
      </c>
      <c r="P4" s="142" t="n"/>
      <c r="Q4" s="145">
        <f>DATA_CONFIG!B19</f>
        <v/>
      </c>
      <c r="R4" s="142" t="n"/>
      <c r="S4" s="58">
        <f>C4+E4+G4+I4+K4+M4+O4+Q4</f>
        <v/>
      </c>
      <c r="T4" s="183" t="inlineStr">
        <is>
          <t>RESUMEN GENERAL</t>
        </is>
      </c>
      <c r="U4" s="184" t="n"/>
    </row>
    <row r="5" ht="13" customHeight="1" s="150">
      <c r="A5" s="155" t="inlineStr">
        <is>
          <t>m³/día Plan</t>
        </is>
      </c>
      <c r="B5" s="156" t="n"/>
      <c r="C5" s="166">
        <f>IFERROR(C4/DATA_CONFIG!$B$6,0)</f>
        <v/>
      </c>
      <c r="D5" s="142" t="n"/>
      <c r="E5" s="166">
        <f>IFERROR(E4/DATA_CONFIG!$B$6,0)</f>
        <v/>
      </c>
      <c r="F5" s="142" t="n"/>
      <c r="G5" s="166">
        <f>IFERROR(G4/DATA_CONFIG!$B$6,0)</f>
        <v/>
      </c>
      <c r="H5" s="142" t="n"/>
      <c r="I5" s="166">
        <f>IFERROR(I4/DATA_CONFIG!$B$6,0)</f>
        <v/>
      </c>
      <c r="J5" s="142" t="n"/>
      <c r="K5" s="166">
        <f>IFERROR(K4/DATA_CONFIG!$B$6,0)</f>
        <v/>
      </c>
      <c r="L5" s="142" t="n"/>
      <c r="M5" s="166">
        <f>IFERROR(M4/DATA_CONFIG!$B$6,0)</f>
        <v/>
      </c>
      <c r="N5" s="142" t="n"/>
      <c r="O5" s="166">
        <f>IFERROR(O4/DATA_CONFIG!$B$6,0)</f>
        <v/>
      </c>
      <c r="P5" s="142" t="n"/>
      <c r="Q5" s="166">
        <f>IFERROR(Q4/DATA_CONFIG!$B$6,0)</f>
        <v/>
      </c>
      <c r="R5" s="142" t="n"/>
      <c r="S5" s="60">
        <f>IFERROR(S4/DATA_CONFIG!$B$6,0)</f>
        <v/>
      </c>
      <c r="T5" s="176">
        <f>S7</f>
        <v/>
      </c>
      <c r="U5" s="177" t="n"/>
    </row>
    <row r="6" ht="13" customHeight="1" s="150">
      <c r="A6" s="155" t="inlineStr">
        <is>
          <t>Proyección Mes</t>
        </is>
      </c>
      <c r="B6" s="156" t="n"/>
      <c r="C6" s="145">
        <f>IFERROR(C9/DATA_CONFIG!$B$8*DATA_CONFIG!$B$6,0)</f>
        <v/>
      </c>
      <c r="D6" s="142" t="n"/>
      <c r="E6" s="145">
        <f>IFERROR(E9/DATA_CONFIG!$B$8*DATA_CONFIG!$B$6,0)</f>
        <v/>
      </c>
      <c r="F6" s="142" t="n"/>
      <c r="G6" s="145">
        <f>IFERROR(G9/DATA_CONFIG!$B$8*DATA_CONFIG!$B$6,0)</f>
        <v/>
      </c>
      <c r="H6" s="142" t="n"/>
      <c r="I6" s="145">
        <f>IFERROR(I9/DATA_CONFIG!$B$8*DATA_CONFIG!$B$6,0)</f>
        <v/>
      </c>
      <c r="J6" s="142" t="n"/>
      <c r="K6" s="145">
        <f>IFERROR(K9/DATA_CONFIG!$B$8*DATA_CONFIG!$B$6,0)</f>
        <v/>
      </c>
      <c r="L6" s="142" t="n"/>
      <c r="M6" s="145">
        <f>IFERROR(M9/DATA_CONFIG!$B$8*DATA_CONFIG!$B$6,0)</f>
        <v/>
      </c>
      <c r="N6" s="142" t="n"/>
      <c r="O6" s="145">
        <f>IFERROR(O9/DATA_CONFIG!$B$8*DATA_CONFIG!$B$6,0)</f>
        <v/>
      </c>
      <c r="P6" s="142" t="n"/>
      <c r="Q6" s="145">
        <f>IFERROR(Q9/DATA_CONFIG!$B$8*DATA_CONFIG!$B$6,0)</f>
        <v/>
      </c>
      <c r="R6" s="142" t="n"/>
      <c r="S6" s="58">
        <f>IFERROR(S9/DATA_CONFIG!$B$8*DATA_CONFIG!$B$6,0)</f>
        <v/>
      </c>
      <c r="T6" s="178" t="n"/>
      <c r="U6" s="177" t="n"/>
    </row>
    <row r="7" ht="13" customHeight="1" s="150">
      <c r="A7" s="155" t="inlineStr">
        <is>
          <t>Cumplimiento %</t>
        </is>
      </c>
      <c r="B7" s="156" t="n"/>
      <c r="C7" s="141">
        <f>IFERROR(C9/C8*100,0)</f>
        <v/>
      </c>
      <c r="D7" s="142" t="n"/>
      <c r="E7" s="141">
        <f>IFERROR(E9/E8*100,0)</f>
        <v/>
      </c>
      <c r="F7" s="142" t="n"/>
      <c r="G7" s="141">
        <f>IFERROR(G9/G8*100,0)</f>
        <v/>
      </c>
      <c r="H7" s="142" t="n"/>
      <c r="I7" s="141">
        <f>IFERROR(I9/I8*100,0)</f>
        <v/>
      </c>
      <c r="J7" s="142" t="n"/>
      <c r="K7" s="141">
        <f>IFERROR(K9/K8*100,0)</f>
        <v/>
      </c>
      <c r="L7" s="142" t="n"/>
      <c r="M7" s="141">
        <f>IFERROR(M9/M8*100,0)</f>
        <v/>
      </c>
      <c r="N7" s="142" t="n"/>
      <c r="O7" s="141">
        <f>IFERROR(O9/O8*100,0)</f>
        <v/>
      </c>
      <c r="P7" s="142" t="n"/>
      <c r="Q7" s="141">
        <f>IFERROR(Q9/Q8*100,0)</f>
        <v/>
      </c>
      <c r="R7" s="142" t="n"/>
      <c r="S7" s="61">
        <f>IFERROR(S9/S8*100,0)</f>
        <v/>
      </c>
      <c r="T7" s="85" t="inlineStr">
        <is>
          <t>Acumulado</t>
        </is>
      </c>
      <c r="U7" s="86">
        <f>S9</f>
        <v/>
      </c>
    </row>
    <row r="8" ht="13" customHeight="1" s="150">
      <c r="A8" s="155" t="inlineStr">
        <is>
          <t>Avance Plan</t>
        </is>
      </c>
      <c r="B8" s="156" t="n"/>
      <c r="C8" s="145">
        <f>C5*DATA_CONFIG!$B$8</f>
        <v/>
      </c>
      <c r="D8" s="142" t="n"/>
      <c r="E8" s="145">
        <f>E5*DATA_CONFIG!$B$8</f>
        <v/>
      </c>
      <c r="F8" s="142" t="n"/>
      <c r="G8" s="145">
        <f>G5*DATA_CONFIG!$B$8</f>
        <v/>
      </c>
      <c r="H8" s="142" t="n"/>
      <c r="I8" s="145">
        <f>I5*DATA_CONFIG!$B$8</f>
        <v/>
      </c>
      <c r="J8" s="142" t="n"/>
      <c r="K8" s="145">
        <f>K5*DATA_CONFIG!$B$8</f>
        <v/>
      </c>
      <c r="L8" s="142" t="n"/>
      <c r="M8" s="145">
        <f>M5*DATA_CONFIG!$B$8</f>
        <v/>
      </c>
      <c r="N8" s="142" t="n"/>
      <c r="O8" s="145">
        <f>O5*DATA_CONFIG!$B$8</f>
        <v/>
      </c>
      <c r="P8" s="142" t="n"/>
      <c r="Q8" s="145">
        <f>Q5*DATA_CONFIG!$B$8</f>
        <v/>
      </c>
      <c r="R8" s="142" t="n"/>
      <c r="S8" s="58">
        <f>S5*DATA_CONFIG!$B$8</f>
        <v/>
      </c>
      <c r="T8" s="85" t="inlineStr">
        <is>
          <t>Dif. vs Plan</t>
        </is>
      </c>
      <c r="U8" s="87">
        <f>S10</f>
        <v/>
      </c>
    </row>
    <row r="9" ht="13" customHeight="1" s="150">
      <c r="A9" s="155" t="inlineStr">
        <is>
          <t>Total Acumulado</t>
        </is>
      </c>
      <c r="B9" s="156" t="n"/>
      <c r="C9" s="165">
        <f>SUMIFS(DATA_DIARIO!$C$2:$C$500,DATA_DIARIO!$B$2:$B$500,"Millalemu 1.1")</f>
        <v/>
      </c>
      <c r="D9" s="156" t="n"/>
      <c r="E9" s="165">
        <f>SUMIFS(DATA_DIARIO!$C$2:$C$500,DATA_DIARIO!$B$2:$B$500,"Millalemu 1.2")</f>
        <v/>
      </c>
      <c r="F9" s="156" t="n"/>
      <c r="G9" s="165">
        <f>SUMIFS(DATA_DIARIO!$C$2:$C$500,DATA_DIARIO!$B$2:$B$500,"Millalemu 1.3")</f>
        <v/>
      </c>
      <c r="H9" s="156" t="n"/>
      <c r="I9" s="165">
        <f>SUMIFS(DATA_DIARIO!$C$2:$C$500,DATA_DIARIO!$B$2:$B$500,"Millalemu 1.4")</f>
        <v/>
      </c>
      <c r="J9" s="156" t="n"/>
      <c r="K9" s="165">
        <f>SUMIFS(DATA_DIARIO!$C$2:$C$500,DATA_DIARIO!$B$2:$B$500,"Millalemu 5")</f>
        <v/>
      </c>
      <c r="L9" s="156" t="n"/>
      <c r="M9" s="165">
        <f>SUMIFS(DATA_DIARIO!$C$2:$C$500,DATA_DIARIO!$B$2:$B$500,"Millalemu 7")</f>
        <v/>
      </c>
      <c r="N9" s="156" t="n"/>
      <c r="O9" s="165">
        <f>SUMIFS(DATA_DIARIO!$C$2:$C$500,DATA_DIARIO!$B$2:$B$500,"Millalemu 9")</f>
        <v/>
      </c>
      <c r="P9" s="156" t="n"/>
      <c r="Q9" s="165">
        <f>SUMIFS(DATA_DIARIO!$C$2:$C$500,DATA_DIARIO!$B$2:$B$500,"Millalemu 11")</f>
        <v/>
      </c>
      <c r="R9" s="156" t="n"/>
      <c r="S9" s="62">
        <f>C9+E9+G9+I9+K9+M9+O9+Q9</f>
        <v/>
      </c>
      <c r="T9" s="85" t="inlineStr">
        <is>
          <t>TM Total (hrs)</t>
        </is>
      </c>
      <c r="U9" s="88">
        <f>ROUND(SUM(DATA_TM!F:F)/60,1)</f>
        <v/>
      </c>
    </row>
    <row r="10" ht="13" customHeight="1" s="150">
      <c r="A10" s="155" t="inlineStr">
        <is>
          <t>Dif. vs Plan</t>
        </is>
      </c>
      <c r="B10" s="156" t="n"/>
      <c r="C10" s="158">
        <f>C9-C8</f>
        <v/>
      </c>
      <c r="D10" s="142" t="n"/>
      <c r="E10" s="158">
        <f>E9-E8</f>
        <v/>
      </c>
      <c r="F10" s="142" t="n"/>
      <c r="G10" s="158">
        <f>G9-G8</f>
        <v/>
      </c>
      <c r="H10" s="142" t="n"/>
      <c r="I10" s="158">
        <f>I9-I8</f>
        <v/>
      </c>
      <c r="J10" s="142" t="n"/>
      <c r="K10" s="158">
        <f>K9-K8</f>
        <v/>
      </c>
      <c r="L10" s="142" t="n"/>
      <c r="M10" s="158">
        <f>M9-M8</f>
        <v/>
      </c>
      <c r="N10" s="142" t="n"/>
      <c r="O10" s="158">
        <f>O9-O8</f>
        <v/>
      </c>
      <c r="P10" s="142" t="n"/>
      <c r="Q10" s="158">
        <f>Q9-Q8</f>
        <v/>
      </c>
      <c r="R10" s="142" t="n"/>
      <c r="S10" s="59">
        <f>S9-S8</f>
        <v/>
      </c>
      <c r="T10" s="85" t="inlineStr">
        <is>
          <t>Hrs Mantención</t>
        </is>
      </c>
      <c r="U10" s="88">
        <f>ROUND(SUMIFS(DATA_TM!F:F,DATA_TM!E:E,"Mantención")/60,1)</f>
        <v/>
      </c>
    </row>
    <row r="11" ht="13" customHeight="1" s="150">
      <c r="A11" s="155" t="inlineStr">
        <is>
          <t>Ritmo Cierre</t>
        </is>
      </c>
      <c r="B11" s="156" t="n"/>
      <c r="C11" s="166">
        <f>IFERROR((C4-C9)/DATA_CONFIG!$B$9,0)</f>
        <v/>
      </c>
      <c r="D11" s="142" t="n"/>
      <c r="E11" s="166">
        <f>IFERROR((E4-E9)/DATA_CONFIG!$B$9,0)</f>
        <v/>
      </c>
      <c r="F11" s="142" t="n"/>
      <c r="G11" s="166">
        <f>IFERROR((G4-G9)/DATA_CONFIG!$B$9,0)</f>
        <v/>
      </c>
      <c r="H11" s="142" t="n"/>
      <c r="I11" s="166">
        <f>IFERROR((I4-I9)/DATA_CONFIG!$B$9,0)</f>
        <v/>
      </c>
      <c r="J11" s="142" t="n"/>
      <c r="K11" s="166">
        <f>IFERROR((K4-K9)/DATA_CONFIG!$B$9,0)</f>
        <v/>
      </c>
      <c r="L11" s="142" t="n"/>
      <c r="M11" s="166">
        <f>IFERROR((M4-M9)/DATA_CONFIG!$B$9,0)</f>
        <v/>
      </c>
      <c r="N11" s="142" t="n"/>
      <c r="O11" s="166">
        <f>IFERROR((O4-O9)/DATA_CONFIG!$B$9,0)</f>
        <v/>
      </c>
      <c r="P11" s="142" t="n"/>
      <c r="Q11" s="166">
        <f>IFERROR((Q4-Q9)/DATA_CONFIG!$B$9,0)</f>
        <v/>
      </c>
      <c r="R11" s="142" t="n"/>
      <c r="S11" s="60">
        <f>IFERROR((S4-S9)/DATA_CONFIG!$B$9,0)</f>
        <v/>
      </c>
      <c r="T11" s="89" t="inlineStr">
        <is>
          <t>Top Causa</t>
        </is>
      </c>
      <c r="U11" s="90">
        <f t="array" ref="U11">INDEX(DATA_TM!D:D,MATCH(MAX(SUMIFS(DATA_TM!F:F,DATA_TM!D:D,DATA_TM!D:D)),SUMIFS(DATA_TM!F:F,DATA_TM!D:D,DATA_TM!D:D),0))</f>
        <v/>
      </c>
    </row>
    <row r="12">
      <c r="A12" s="51" t="n"/>
      <c r="B12" s="51" t="n"/>
      <c r="C12" s="52" t="inlineStr">
        <is>
          <t>m³</t>
        </is>
      </c>
      <c r="D12" s="52" t="inlineStr">
        <is>
          <t>Hrs</t>
        </is>
      </c>
      <c r="E12" s="52" t="inlineStr">
        <is>
          <t>m³</t>
        </is>
      </c>
      <c r="F12" s="52" t="inlineStr">
        <is>
          <t>Hrs</t>
        </is>
      </c>
      <c r="G12" s="52" t="inlineStr">
        <is>
          <t>m³</t>
        </is>
      </c>
      <c r="H12" s="52" t="inlineStr">
        <is>
          <t>Hrs</t>
        </is>
      </c>
      <c r="I12" s="52" t="inlineStr">
        <is>
          <t>m³</t>
        </is>
      </c>
      <c r="J12" s="52" t="inlineStr">
        <is>
          <t>Hrs</t>
        </is>
      </c>
      <c r="K12" s="52" t="inlineStr">
        <is>
          <t>m³</t>
        </is>
      </c>
      <c r="L12" s="52" t="inlineStr">
        <is>
          <t>Hrs</t>
        </is>
      </c>
      <c r="M12" s="52" t="inlineStr">
        <is>
          <t>m³</t>
        </is>
      </c>
      <c r="N12" s="52" t="inlineStr">
        <is>
          <t>Hrs</t>
        </is>
      </c>
      <c r="O12" s="52" t="inlineStr">
        <is>
          <t>m³</t>
        </is>
      </c>
      <c r="P12" s="52" t="inlineStr">
        <is>
          <t>Hrs</t>
        </is>
      </c>
      <c r="Q12" s="52" t="inlineStr">
        <is>
          <t>m³</t>
        </is>
      </c>
      <c r="R12" s="52" t="inlineStr">
        <is>
          <t>Hrs</t>
        </is>
      </c>
      <c r="S12" s="53" t="inlineStr">
        <is>
          <t>TOTAL</t>
        </is>
      </c>
      <c r="T12" s="53" t="inlineStr">
        <is>
          <t>Cumpl%</t>
        </is>
      </c>
      <c r="U12" s="53" t="inlineStr">
        <is>
          <t>TM(hrs)</t>
        </is>
      </c>
      <c r="V12" s="2" t="n"/>
    </row>
    <row r="13" ht="13" customHeight="1" s="150">
      <c r="A13" s="3">
        <f>IF(1&gt;DATA_CONFIG!$B$4,"",1)</f>
        <v/>
      </c>
      <c r="B13" s="4">
        <f>IF($A13&gt;DATA_CONFIG!$B$4,"",TEXT(DATE(DATA_CONFIG!$B$3,DATA_CONFIG!$B$2,$A13),"ddd"))</f>
        <v/>
      </c>
      <c r="C13" s="63">
        <f>IF($A13&gt;DATA_CONFIG!$B$4,"",IF(COUNTIFS(DATA_DIARIO!$A$2:$A$500,$A13,DATA_DIARIO!$B$2:$B$500,"Millalemu 1.1")&gt;0,SUMIFS(DATA_DIARIO!$C$2:$C$500,DATA_DIARIO!$A$2:$A$500,$A13,DATA_DIARIO!$B$2:$B$500,"Millalemu 1.1"),""))</f>
        <v/>
      </c>
      <c r="D13" s="64">
        <f>IF($A13&gt;DATA_CONFIG!$B$4,"",IF(COUNTIFS(DATA_DIARIO!$A$2:$A$500,$A13,DATA_DIARIO!$B$2:$B$500,"Millalemu 1.1")&gt;0,SUMIFS(DATA_DIARIO!$D$2:$D$500,DATA_DIARIO!$A$2:$A$500,$A13,DATA_DIARIO!$B$2:$B$500,"Millalemu 1.1"),""))</f>
        <v/>
      </c>
      <c r="E13" s="56">
        <f>IF($A13&gt;DATA_CONFIG!$B$4,"",IF(COUNTIFS(DATA_DIARIO!$A$2:$A$500,$A13,DATA_DIARIO!$B$2:$B$500,"Millalemu 1.2")&gt;0,SUMIFS(DATA_DIARIO!$C$2:$C$500,DATA_DIARIO!$A$2:$A$500,$A13,DATA_DIARIO!$B$2:$B$500,"Millalemu 1.2"),""))</f>
        <v/>
      </c>
      <c r="F13" s="57">
        <f>IF($A13&gt;DATA_CONFIG!$B$4,"",IF(COUNTIFS(DATA_DIARIO!$A$2:$A$500,$A13,DATA_DIARIO!$B$2:$B$500,"Millalemu 1.2")&gt;0,SUMIFS(DATA_DIARIO!$D$2:$D$500,DATA_DIARIO!$A$2:$A$500,$A13,DATA_DIARIO!$B$2:$B$500,"Millalemu 1.2"),""))</f>
        <v/>
      </c>
      <c r="G13" s="63">
        <f>IF($A13&gt;DATA_CONFIG!$B$4,"",IF(COUNTIFS(DATA_DIARIO!$A$2:$A$500,$A13,DATA_DIARIO!$B$2:$B$500,"Millalemu 1.3")&gt;0,SUMIFS(DATA_DIARIO!$C$2:$C$500,DATA_DIARIO!$A$2:$A$500,$A13,DATA_DIARIO!$B$2:$B$500,"Millalemu 1.3"),""))</f>
        <v/>
      </c>
      <c r="H13" s="64">
        <f>IF($A13&gt;DATA_CONFIG!$B$4,"",IF(COUNTIFS(DATA_DIARIO!$A$2:$A$500,$A13,DATA_DIARIO!$B$2:$B$500,"Millalemu 1.3")&gt;0,SUMIFS(DATA_DIARIO!$D$2:$D$500,DATA_DIARIO!$A$2:$A$500,$A13,DATA_DIARIO!$B$2:$B$500,"Millalemu 1.3"),""))</f>
        <v/>
      </c>
      <c r="I13" s="54">
        <f>IF($A13&gt;DATA_CONFIG!$B$4,"",IF(COUNTIFS(DATA_DIARIO!$A$2:$A$500,$A13,DATA_DIARIO!$B$2:$B$500,"Millalemu 1.4")&gt;0,SUMIFS(DATA_DIARIO!$C$2:$C$500,DATA_DIARIO!$A$2:$A$500,$A13,DATA_DIARIO!$B$2:$B$500,"Millalemu 1.4"),""))</f>
        <v/>
      </c>
      <c r="J13" s="55">
        <f>IF($A13&gt;DATA_CONFIG!$B$4,"",IF(COUNTIFS(DATA_DIARIO!$A$2:$A$500,$A13,DATA_DIARIO!$B$2:$B$500,"Millalemu 1.4")&gt;0,SUMIFS(DATA_DIARIO!$D$2:$D$500,DATA_DIARIO!$A$2:$A$500,$A13,DATA_DIARIO!$B$2:$B$500,"Millalemu 1.4"),""))</f>
        <v/>
      </c>
      <c r="K13" s="63">
        <f>IF($A13&gt;DATA_CONFIG!$B$4,"",IF(COUNTIFS(DATA_DIARIO!$A$2:$A$500,$A13,DATA_DIARIO!$B$2:$B$500,"Millalemu 5")&gt;0,SUMIFS(DATA_DIARIO!$C$2:$C$500,DATA_DIARIO!$A$2:$A$500,$A13,DATA_DIARIO!$B$2:$B$500,"Millalemu 5"),""))</f>
        <v/>
      </c>
      <c r="L13" s="64">
        <f>IF($A13&gt;DATA_CONFIG!$B$4,"",IF(COUNTIFS(DATA_DIARIO!$A$2:$A$500,$A13,DATA_DIARIO!$B$2:$B$500,"Millalemu 5")&gt;0,SUMIFS(DATA_DIARIO!$D$2:$D$500,DATA_DIARIO!$A$2:$A$500,$A13,DATA_DIARIO!$B$2:$B$500,"Millalemu 5"),""))</f>
        <v/>
      </c>
      <c r="M13" s="54">
        <f>IF($A13&gt;DATA_CONFIG!$B$4,"",IF(COUNTIFS(DATA_DIARIO!$A$2:$A$500,$A13,DATA_DIARIO!$B$2:$B$500,"Millalemu 7")&gt;0,SUMIFS(DATA_DIARIO!$C$2:$C$500,DATA_DIARIO!$A$2:$A$500,$A13,DATA_DIARIO!$B$2:$B$500,"Millalemu 7"),""))</f>
        <v/>
      </c>
      <c r="N13" s="55">
        <f>IF($A13&gt;DATA_CONFIG!$B$4,"",IF(COUNTIFS(DATA_DIARIO!$A$2:$A$500,$A13,DATA_DIARIO!$B$2:$B$500,"Millalemu 7")&gt;0,SUMIFS(DATA_DIARIO!$D$2:$D$500,DATA_DIARIO!$A$2:$A$500,$A13,DATA_DIARIO!$B$2:$B$500,"Millalemu 7"),""))</f>
        <v/>
      </c>
      <c r="O13" s="63">
        <f>IF($A13&gt;DATA_CONFIG!$B$4,"",IF(COUNTIFS(DATA_DIARIO!$A$2:$A$500,$A13,DATA_DIARIO!$B$2:$B$500,"Millalemu 9")&gt;0,SUMIFS(DATA_DIARIO!$C$2:$C$500,DATA_DIARIO!$A$2:$A$500,$A13,DATA_DIARIO!$B$2:$B$500,"Millalemu 9"),""))</f>
        <v/>
      </c>
      <c r="P13" s="64">
        <f>IF($A13&gt;DATA_CONFIG!$B$4,"",IF(COUNTIFS(DATA_DIARIO!$A$2:$A$500,$A13,DATA_DIARIO!$B$2:$B$500,"Millalemu 9")&gt;0,SUMIFS(DATA_DIARIO!$D$2:$D$500,DATA_DIARIO!$A$2:$A$500,$A13,DATA_DIARIO!$B$2:$B$500,"Millalemu 9"),""))</f>
        <v/>
      </c>
      <c r="Q13" s="54">
        <f>IF($A13&gt;DATA_CONFIG!$B$4,"",IF(COUNTIFS(DATA_DIARIO!$A$2:$A$500,$A13,DATA_DIARIO!$B$2:$B$500,"Millalemu 11")&gt;0,SUMIFS(DATA_DIARIO!$C$2:$C$500,DATA_DIARIO!$A$2:$A$500,$A13,DATA_DIARIO!$B$2:$B$500,"Millalemu 11"),""))</f>
        <v/>
      </c>
      <c r="R13" s="55">
        <f>IF($A13&gt;DATA_CONFIG!$B$4,"",IF(COUNTIFS(DATA_DIARIO!$A$2:$A$500,$A13,DATA_DIARIO!$B$2:$B$500,"Millalemu 11")&gt;0,SUMIFS(DATA_DIARIO!$D$2:$D$500,DATA_DIARIO!$A$2:$A$500,$A13,DATA_DIARIO!$B$2:$B$500,"Millalemu 11"),""))</f>
        <v/>
      </c>
      <c r="S13" s="65">
        <f>IF($A13&gt;DATA_CONFIG!$B$4,"",IF(SUMPRODUCT((DATA_DIARIO!$A$2:$A$500=$A13)*1)&gt;0,SUMIFS(DATA_DIARIO!$C$2:$C$500,DATA_DIARIO!$A$2:$A$500,$A13),""))</f>
        <v/>
      </c>
      <c r="T13" s="66">
        <f>IF(S13="","",IFERROR(S13/S5*100,0))</f>
        <v/>
      </c>
      <c r="U13" s="67">
        <f>IF($A13&gt;DATA_CONFIG!$B$4,"",IF(SUMPRODUCT((DATA_TM!$A$2:$A$500=$A13)*1)&gt;0,SUMIFS(DATA_TM!$F$2:$F$500,DATA_TM!$A$2:$A$500,$A13)/60,""))</f>
        <v/>
      </c>
      <c r="V13" s="5">
        <f>IF($A13&gt;DATA_CONFIG!$B$4,"",IFERROR(INDEX(DATA_CONFIG!$B$22:$B$52,MATCH($A13,DATA_CONFIG!$A$22:$A$52,0)),""))</f>
        <v/>
      </c>
    </row>
    <row r="14" ht="13" customHeight="1" s="150">
      <c r="A14" s="3">
        <f>IF(2&gt;DATA_CONFIG!$B$4,"",2)</f>
        <v/>
      </c>
      <c r="B14" s="4">
        <f>IF($A14&gt;DATA_CONFIG!$B$4,"",TEXT(DATE(DATA_CONFIG!$B$3,DATA_CONFIG!$B$2,$A14),"ddd"))</f>
        <v/>
      </c>
      <c r="C14" s="63">
        <f>IF($A14&gt;DATA_CONFIG!$B$4,"",IF(COUNTIFS(DATA_DIARIO!$A$2:$A$500,$A14,DATA_DIARIO!$B$2:$B$500,"Millalemu 1.1")&gt;0,SUMIFS(DATA_DIARIO!$C$2:$C$500,DATA_DIARIO!$A$2:$A$500,$A14,DATA_DIARIO!$B$2:$B$500,"Millalemu 1.1"),""))</f>
        <v/>
      </c>
      <c r="D14" s="64">
        <f>IF($A14&gt;DATA_CONFIG!$B$4,"",IF(COUNTIFS(DATA_DIARIO!$A$2:$A$500,$A14,DATA_DIARIO!$B$2:$B$500,"Millalemu 1.1")&gt;0,SUMIFS(DATA_DIARIO!$D$2:$D$500,DATA_DIARIO!$A$2:$A$500,$A14,DATA_DIARIO!$B$2:$B$500,"Millalemu 1.1"),""))</f>
        <v/>
      </c>
      <c r="E14" s="56">
        <f>IF($A14&gt;DATA_CONFIG!$B$4,"",IF(COUNTIFS(DATA_DIARIO!$A$2:$A$500,$A14,DATA_DIARIO!$B$2:$B$500,"Millalemu 1.2")&gt;0,SUMIFS(DATA_DIARIO!$C$2:$C$500,DATA_DIARIO!$A$2:$A$500,$A14,DATA_DIARIO!$B$2:$B$500,"Millalemu 1.2"),""))</f>
        <v/>
      </c>
      <c r="F14" s="57">
        <f>IF($A14&gt;DATA_CONFIG!$B$4,"",IF(COUNTIFS(DATA_DIARIO!$A$2:$A$500,$A14,DATA_DIARIO!$B$2:$B$500,"Millalemu 1.2")&gt;0,SUMIFS(DATA_DIARIO!$D$2:$D$500,DATA_DIARIO!$A$2:$A$500,$A14,DATA_DIARIO!$B$2:$B$500,"Millalemu 1.2"),""))</f>
        <v/>
      </c>
      <c r="G14" s="63">
        <f>IF($A14&gt;DATA_CONFIG!$B$4,"",IF(COUNTIFS(DATA_DIARIO!$A$2:$A$500,$A14,DATA_DIARIO!$B$2:$B$500,"Millalemu 1.3")&gt;0,SUMIFS(DATA_DIARIO!$C$2:$C$500,DATA_DIARIO!$A$2:$A$500,$A14,DATA_DIARIO!$B$2:$B$500,"Millalemu 1.3"),""))</f>
        <v/>
      </c>
      <c r="H14" s="64">
        <f>IF($A14&gt;DATA_CONFIG!$B$4,"",IF(COUNTIFS(DATA_DIARIO!$A$2:$A$500,$A14,DATA_DIARIO!$B$2:$B$500,"Millalemu 1.3")&gt;0,SUMIFS(DATA_DIARIO!$D$2:$D$500,DATA_DIARIO!$A$2:$A$500,$A14,DATA_DIARIO!$B$2:$B$500,"Millalemu 1.3"),""))</f>
        <v/>
      </c>
      <c r="I14" s="54">
        <f>IF($A14&gt;DATA_CONFIG!$B$4,"",IF(COUNTIFS(DATA_DIARIO!$A$2:$A$500,$A14,DATA_DIARIO!$B$2:$B$500,"Millalemu 1.4")&gt;0,SUMIFS(DATA_DIARIO!$C$2:$C$500,DATA_DIARIO!$A$2:$A$500,$A14,DATA_DIARIO!$B$2:$B$500,"Millalemu 1.4"),""))</f>
        <v/>
      </c>
      <c r="J14" s="55">
        <f>IF($A14&gt;DATA_CONFIG!$B$4,"",IF(COUNTIFS(DATA_DIARIO!$A$2:$A$500,$A14,DATA_DIARIO!$B$2:$B$500,"Millalemu 1.4")&gt;0,SUMIFS(DATA_DIARIO!$D$2:$D$500,DATA_DIARIO!$A$2:$A$500,$A14,DATA_DIARIO!$B$2:$B$500,"Millalemu 1.4"),""))</f>
        <v/>
      </c>
      <c r="K14" s="63">
        <f>IF($A14&gt;DATA_CONFIG!$B$4,"",IF(COUNTIFS(DATA_DIARIO!$A$2:$A$500,$A14,DATA_DIARIO!$B$2:$B$500,"Millalemu 5")&gt;0,SUMIFS(DATA_DIARIO!$C$2:$C$500,DATA_DIARIO!$A$2:$A$500,$A14,DATA_DIARIO!$B$2:$B$500,"Millalemu 5"),""))</f>
        <v/>
      </c>
      <c r="L14" s="64">
        <f>IF($A14&gt;DATA_CONFIG!$B$4,"",IF(COUNTIFS(DATA_DIARIO!$A$2:$A$500,$A14,DATA_DIARIO!$B$2:$B$500,"Millalemu 5")&gt;0,SUMIFS(DATA_DIARIO!$D$2:$D$500,DATA_DIARIO!$A$2:$A$500,$A14,DATA_DIARIO!$B$2:$B$500,"Millalemu 5"),""))</f>
        <v/>
      </c>
      <c r="M14" s="54">
        <f>IF($A14&gt;DATA_CONFIG!$B$4,"",IF(COUNTIFS(DATA_DIARIO!$A$2:$A$500,$A14,DATA_DIARIO!$B$2:$B$500,"Millalemu 7")&gt;0,SUMIFS(DATA_DIARIO!$C$2:$C$500,DATA_DIARIO!$A$2:$A$500,$A14,DATA_DIARIO!$B$2:$B$500,"Millalemu 7"),""))</f>
        <v/>
      </c>
      <c r="N14" s="55">
        <f>IF($A14&gt;DATA_CONFIG!$B$4,"",IF(COUNTIFS(DATA_DIARIO!$A$2:$A$500,$A14,DATA_DIARIO!$B$2:$B$500,"Millalemu 7")&gt;0,SUMIFS(DATA_DIARIO!$D$2:$D$500,DATA_DIARIO!$A$2:$A$500,$A14,DATA_DIARIO!$B$2:$B$500,"Millalemu 7"),""))</f>
        <v/>
      </c>
      <c r="O14" s="63">
        <f>IF($A14&gt;DATA_CONFIG!$B$4,"",IF(COUNTIFS(DATA_DIARIO!$A$2:$A$500,$A14,DATA_DIARIO!$B$2:$B$500,"Millalemu 9")&gt;0,SUMIFS(DATA_DIARIO!$C$2:$C$500,DATA_DIARIO!$A$2:$A$500,$A14,DATA_DIARIO!$B$2:$B$500,"Millalemu 9"),""))</f>
        <v/>
      </c>
      <c r="P14" s="64">
        <f>IF($A14&gt;DATA_CONFIG!$B$4,"",IF(COUNTIFS(DATA_DIARIO!$A$2:$A$500,$A14,DATA_DIARIO!$B$2:$B$500,"Millalemu 9")&gt;0,SUMIFS(DATA_DIARIO!$D$2:$D$500,DATA_DIARIO!$A$2:$A$500,$A14,DATA_DIARIO!$B$2:$B$500,"Millalemu 9"),""))</f>
        <v/>
      </c>
      <c r="Q14" s="54">
        <f>IF($A14&gt;DATA_CONFIG!$B$4,"",IF(COUNTIFS(DATA_DIARIO!$A$2:$A$500,$A14,DATA_DIARIO!$B$2:$B$500,"Millalemu 11")&gt;0,SUMIFS(DATA_DIARIO!$C$2:$C$500,DATA_DIARIO!$A$2:$A$500,$A14,DATA_DIARIO!$B$2:$B$500,"Millalemu 11"),""))</f>
        <v/>
      </c>
      <c r="R14" s="55">
        <f>IF($A14&gt;DATA_CONFIG!$B$4,"",IF(COUNTIFS(DATA_DIARIO!$A$2:$A$500,$A14,DATA_DIARIO!$B$2:$B$500,"Millalemu 11")&gt;0,SUMIFS(DATA_DIARIO!$D$2:$D$500,DATA_DIARIO!$A$2:$A$500,$A14,DATA_DIARIO!$B$2:$B$500,"Millalemu 11"),""))</f>
        <v/>
      </c>
      <c r="S14" s="65">
        <f>IF($A14&gt;DATA_CONFIG!$B$4,"",IF(SUMPRODUCT((DATA_DIARIO!$A$2:$A$500=$A14)*1)&gt;0,SUMIFS(DATA_DIARIO!$C$2:$C$500,DATA_DIARIO!$A$2:$A$500,$A14),""))</f>
        <v/>
      </c>
      <c r="T14" s="66">
        <f>IF(S14="","",IFERROR(S14/S5*100,0))</f>
        <v/>
      </c>
      <c r="U14" s="67">
        <f>IF($A14&gt;DATA_CONFIG!$B$4,"",IF(SUMPRODUCT((DATA_TM!$A$2:$A$500=$A14)*1)&gt;0,SUMIFS(DATA_TM!$F$2:$F$500,DATA_TM!$A$2:$A$500,$A14)/60,""))</f>
        <v/>
      </c>
      <c r="V14" s="5">
        <f>IF($A14&gt;DATA_CONFIG!$B$4,"",IFERROR(INDEX(DATA_CONFIG!$B$22:$B$52,MATCH($A14,DATA_CONFIG!$A$22:$A$52,0)),""))</f>
        <v/>
      </c>
    </row>
    <row r="15" ht="13" customHeight="1" s="150">
      <c r="A15" s="3">
        <f>IF(3&gt;DATA_CONFIG!$B$4,"",3)</f>
        <v/>
      </c>
      <c r="B15" s="4">
        <f>IF($A15&gt;DATA_CONFIG!$B$4,"",TEXT(DATE(DATA_CONFIG!$B$3,DATA_CONFIG!$B$2,$A15),"ddd"))</f>
        <v/>
      </c>
      <c r="C15" s="63">
        <f>IF($A15&gt;DATA_CONFIG!$B$4,"",IF(COUNTIFS(DATA_DIARIO!$A$2:$A$500,$A15,DATA_DIARIO!$B$2:$B$500,"Millalemu 1.1")&gt;0,SUMIFS(DATA_DIARIO!$C$2:$C$500,DATA_DIARIO!$A$2:$A$500,$A15,DATA_DIARIO!$B$2:$B$500,"Millalemu 1.1"),""))</f>
        <v/>
      </c>
      <c r="D15" s="64">
        <f>IF($A15&gt;DATA_CONFIG!$B$4,"",IF(COUNTIFS(DATA_DIARIO!$A$2:$A$500,$A15,DATA_DIARIO!$B$2:$B$500,"Millalemu 1.1")&gt;0,SUMIFS(DATA_DIARIO!$D$2:$D$500,DATA_DIARIO!$A$2:$A$500,$A15,DATA_DIARIO!$B$2:$B$500,"Millalemu 1.1"),""))</f>
        <v/>
      </c>
      <c r="E15" s="56">
        <f>IF($A15&gt;DATA_CONFIG!$B$4,"",IF(COUNTIFS(DATA_DIARIO!$A$2:$A$500,$A15,DATA_DIARIO!$B$2:$B$500,"Millalemu 1.2")&gt;0,SUMIFS(DATA_DIARIO!$C$2:$C$500,DATA_DIARIO!$A$2:$A$500,$A15,DATA_DIARIO!$B$2:$B$500,"Millalemu 1.2"),""))</f>
        <v/>
      </c>
      <c r="F15" s="57">
        <f>IF($A15&gt;DATA_CONFIG!$B$4,"",IF(COUNTIFS(DATA_DIARIO!$A$2:$A$500,$A15,DATA_DIARIO!$B$2:$B$500,"Millalemu 1.2")&gt;0,SUMIFS(DATA_DIARIO!$D$2:$D$500,DATA_DIARIO!$A$2:$A$500,$A15,DATA_DIARIO!$B$2:$B$500,"Millalemu 1.2"),""))</f>
        <v/>
      </c>
      <c r="G15" s="63">
        <f>IF($A15&gt;DATA_CONFIG!$B$4,"",IF(COUNTIFS(DATA_DIARIO!$A$2:$A$500,$A15,DATA_DIARIO!$B$2:$B$500,"Millalemu 1.3")&gt;0,SUMIFS(DATA_DIARIO!$C$2:$C$500,DATA_DIARIO!$A$2:$A$500,$A15,DATA_DIARIO!$B$2:$B$500,"Millalemu 1.3"),""))</f>
        <v/>
      </c>
      <c r="H15" s="64">
        <f>IF($A15&gt;DATA_CONFIG!$B$4,"",IF(COUNTIFS(DATA_DIARIO!$A$2:$A$500,$A15,DATA_DIARIO!$B$2:$B$500,"Millalemu 1.3")&gt;0,SUMIFS(DATA_DIARIO!$D$2:$D$500,DATA_DIARIO!$A$2:$A$500,$A15,DATA_DIARIO!$B$2:$B$500,"Millalemu 1.3"),""))</f>
        <v/>
      </c>
      <c r="I15" s="54">
        <f>IF($A15&gt;DATA_CONFIG!$B$4,"",IF(COUNTIFS(DATA_DIARIO!$A$2:$A$500,$A15,DATA_DIARIO!$B$2:$B$500,"Millalemu 1.4")&gt;0,SUMIFS(DATA_DIARIO!$C$2:$C$500,DATA_DIARIO!$A$2:$A$500,$A15,DATA_DIARIO!$B$2:$B$500,"Millalemu 1.4"),""))</f>
        <v/>
      </c>
      <c r="J15" s="55">
        <f>IF($A15&gt;DATA_CONFIG!$B$4,"",IF(COUNTIFS(DATA_DIARIO!$A$2:$A$500,$A15,DATA_DIARIO!$B$2:$B$500,"Millalemu 1.4")&gt;0,SUMIFS(DATA_DIARIO!$D$2:$D$500,DATA_DIARIO!$A$2:$A$500,$A15,DATA_DIARIO!$B$2:$B$500,"Millalemu 1.4"),""))</f>
        <v/>
      </c>
      <c r="K15" s="63">
        <f>IF($A15&gt;DATA_CONFIG!$B$4,"",IF(COUNTIFS(DATA_DIARIO!$A$2:$A$500,$A15,DATA_DIARIO!$B$2:$B$500,"Millalemu 5")&gt;0,SUMIFS(DATA_DIARIO!$C$2:$C$500,DATA_DIARIO!$A$2:$A$500,$A15,DATA_DIARIO!$B$2:$B$500,"Millalemu 5"),""))</f>
        <v/>
      </c>
      <c r="L15" s="64">
        <f>IF($A15&gt;DATA_CONFIG!$B$4,"",IF(COUNTIFS(DATA_DIARIO!$A$2:$A$500,$A15,DATA_DIARIO!$B$2:$B$500,"Millalemu 5")&gt;0,SUMIFS(DATA_DIARIO!$D$2:$D$500,DATA_DIARIO!$A$2:$A$500,$A15,DATA_DIARIO!$B$2:$B$500,"Millalemu 5"),""))</f>
        <v/>
      </c>
      <c r="M15" s="54">
        <f>IF($A15&gt;DATA_CONFIG!$B$4,"",IF(COUNTIFS(DATA_DIARIO!$A$2:$A$500,$A15,DATA_DIARIO!$B$2:$B$500,"Millalemu 7")&gt;0,SUMIFS(DATA_DIARIO!$C$2:$C$500,DATA_DIARIO!$A$2:$A$500,$A15,DATA_DIARIO!$B$2:$B$500,"Millalemu 7"),""))</f>
        <v/>
      </c>
      <c r="N15" s="55">
        <f>IF($A15&gt;DATA_CONFIG!$B$4,"",IF(COUNTIFS(DATA_DIARIO!$A$2:$A$500,$A15,DATA_DIARIO!$B$2:$B$500,"Millalemu 7")&gt;0,SUMIFS(DATA_DIARIO!$D$2:$D$500,DATA_DIARIO!$A$2:$A$500,$A15,DATA_DIARIO!$B$2:$B$500,"Millalemu 7"),""))</f>
        <v/>
      </c>
      <c r="O15" s="63">
        <f>IF($A15&gt;DATA_CONFIG!$B$4,"",IF(COUNTIFS(DATA_DIARIO!$A$2:$A$500,$A15,DATA_DIARIO!$B$2:$B$500,"Millalemu 9")&gt;0,SUMIFS(DATA_DIARIO!$C$2:$C$500,DATA_DIARIO!$A$2:$A$500,$A15,DATA_DIARIO!$B$2:$B$500,"Millalemu 9"),""))</f>
        <v/>
      </c>
      <c r="P15" s="64">
        <f>IF($A15&gt;DATA_CONFIG!$B$4,"",IF(COUNTIFS(DATA_DIARIO!$A$2:$A$500,$A15,DATA_DIARIO!$B$2:$B$500,"Millalemu 9")&gt;0,SUMIFS(DATA_DIARIO!$D$2:$D$500,DATA_DIARIO!$A$2:$A$500,$A15,DATA_DIARIO!$B$2:$B$500,"Millalemu 9"),""))</f>
        <v/>
      </c>
      <c r="Q15" s="54">
        <f>IF($A15&gt;DATA_CONFIG!$B$4,"",IF(COUNTIFS(DATA_DIARIO!$A$2:$A$500,$A15,DATA_DIARIO!$B$2:$B$500,"Millalemu 11")&gt;0,SUMIFS(DATA_DIARIO!$C$2:$C$500,DATA_DIARIO!$A$2:$A$500,$A15,DATA_DIARIO!$B$2:$B$500,"Millalemu 11"),""))</f>
        <v/>
      </c>
      <c r="R15" s="55">
        <f>IF($A15&gt;DATA_CONFIG!$B$4,"",IF(COUNTIFS(DATA_DIARIO!$A$2:$A$500,$A15,DATA_DIARIO!$B$2:$B$500,"Millalemu 11")&gt;0,SUMIFS(DATA_DIARIO!$D$2:$D$500,DATA_DIARIO!$A$2:$A$500,$A15,DATA_DIARIO!$B$2:$B$500,"Millalemu 11"),""))</f>
        <v/>
      </c>
      <c r="S15" s="65">
        <f>IF($A15&gt;DATA_CONFIG!$B$4,"",IF(SUMPRODUCT((DATA_DIARIO!$A$2:$A$500=$A15)*1)&gt;0,SUMIFS(DATA_DIARIO!$C$2:$C$500,DATA_DIARIO!$A$2:$A$500,$A15),""))</f>
        <v/>
      </c>
      <c r="T15" s="66">
        <f>IF(S15="","",IFERROR(S15/S5*100,0))</f>
        <v/>
      </c>
      <c r="U15" s="67">
        <f>IF($A15&gt;DATA_CONFIG!$B$4,"",IF(SUMPRODUCT((DATA_TM!$A$2:$A$500=$A15)*1)&gt;0,SUMIFS(DATA_TM!$F$2:$F$500,DATA_TM!$A$2:$A$500,$A15)/60,""))</f>
        <v/>
      </c>
      <c r="V15" s="5">
        <f>IF($A15&gt;DATA_CONFIG!$B$4,"",IFERROR(INDEX(DATA_CONFIG!$B$22:$B$52,MATCH($A15,DATA_CONFIG!$A$22:$A$52,0)),""))</f>
        <v/>
      </c>
    </row>
    <row r="16" ht="13" customHeight="1" s="150">
      <c r="A16" s="3">
        <f>IF(4&gt;DATA_CONFIG!$B$4,"",4)</f>
        <v/>
      </c>
      <c r="B16" s="4">
        <f>IF($A16&gt;DATA_CONFIG!$B$4,"",TEXT(DATE(DATA_CONFIG!$B$3,DATA_CONFIG!$B$2,$A16),"ddd"))</f>
        <v/>
      </c>
      <c r="C16" s="63">
        <f>IF($A16&gt;DATA_CONFIG!$B$4,"",IF(COUNTIFS(DATA_DIARIO!$A$2:$A$500,$A16,DATA_DIARIO!$B$2:$B$500,"Millalemu 1.1")&gt;0,SUMIFS(DATA_DIARIO!$C$2:$C$500,DATA_DIARIO!$A$2:$A$500,$A16,DATA_DIARIO!$B$2:$B$500,"Millalemu 1.1"),""))</f>
        <v/>
      </c>
      <c r="D16" s="64">
        <f>IF($A16&gt;DATA_CONFIG!$B$4,"",IF(COUNTIFS(DATA_DIARIO!$A$2:$A$500,$A16,DATA_DIARIO!$B$2:$B$500,"Millalemu 1.1")&gt;0,SUMIFS(DATA_DIARIO!$D$2:$D$500,DATA_DIARIO!$A$2:$A$500,$A16,DATA_DIARIO!$B$2:$B$500,"Millalemu 1.1"),""))</f>
        <v/>
      </c>
      <c r="E16" s="56">
        <f>IF($A16&gt;DATA_CONFIG!$B$4,"",IF(COUNTIFS(DATA_DIARIO!$A$2:$A$500,$A16,DATA_DIARIO!$B$2:$B$500,"Millalemu 1.2")&gt;0,SUMIFS(DATA_DIARIO!$C$2:$C$500,DATA_DIARIO!$A$2:$A$500,$A16,DATA_DIARIO!$B$2:$B$500,"Millalemu 1.2"),""))</f>
        <v/>
      </c>
      <c r="F16" s="57">
        <f>IF($A16&gt;DATA_CONFIG!$B$4,"",IF(COUNTIFS(DATA_DIARIO!$A$2:$A$500,$A16,DATA_DIARIO!$B$2:$B$500,"Millalemu 1.2")&gt;0,SUMIFS(DATA_DIARIO!$D$2:$D$500,DATA_DIARIO!$A$2:$A$500,$A16,DATA_DIARIO!$B$2:$B$500,"Millalemu 1.2"),""))</f>
        <v/>
      </c>
      <c r="G16" s="63">
        <f>IF($A16&gt;DATA_CONFIG!$B$4,"",IF(COUNTIFS(DATA_DIARIO!$A$2:$A$500,$A16,DATA_DIARIO!$B$2:$B$500,"Millalemu 1.3")&gt;0,SUMIFS(DATA_DIARIO!$C$2:$C$500,DATA_DIARIO!$A$2:$A$500,$A16,DATA_DIARIO!$B$2:$B$500,"Millalemu 1.3"),""))</f>
        <v/>
      </c>
      <c r="H16" s="64">
        <f>IF($A16&gt;DATA_CONFIG!$B$4,"",IF(COUNTIFS(DATA_DIARIO!$A$2:$A$500,$A16,DATA_DIARIO!$B$2:$B$500,"Millalemu 1.3")&gt;0,SUMIFS(DATA_DIARIO!$D$2:$D$500,DATA_DIARIO!$A$2:$A$500,$A16,DATA_DIARIO!$B$2:$B$500,"Millalemu 1.3"),""))</f>
        <v/>
      </c>
      <c r="I16" s="54">
        <f>IF($A16&gt;DATA_CONFIG!$B$4,"",IF(COUNTIFS(DATA_DIARIO!$A$2:$A$500,$A16,DATA_DIARIO!$B$2:$B$500,"Millalemu 1.4")&gt;0,SUMIFS(DATA_DIARIO!$C$2:$C$500,DATA_DIARIO!$A$2:$A$500,$A16,DATA_DIARIO!$B$2:$B$500,"Millalemu 1.4"),""))</f>
        <v/>
      </c>
      <c r="J16" s="55">
        <f>IF($A16&gt;DATA_CONFIG!$B$4,"",IF(COUNTIFS(DATA_DIARIO!$A$2:$A$500,$A16,DATA_DIARIO!$B$2:$B$500,"Millalemu 1.4")&gt;0,SUMIFS(DATA_DIARIO!$D$2:$D$500,DATA_DIARIO!$A$2:$A$500,$A16,DATA_DIARIO!$B$2:$B$500,"Millalemu 1.4"),""))</f>
        <v/>
      </c>
      <c r="K16" s="63">
        <f>IF($A16&gt;DATA_CONFIG!$B$4,"",IF(COUNTIFS(DATA_DIARIO!$A$2:$A$500,$A16,DATA_DIARIO!$B$2:$B$500,"Millalemu 5")&gt;0,SUMIFS(DATA_DIARIO!$C$2:$C$500,DATA_DIARIO!$A$2:$A$500,$A16,DATA_DIARIO!$B$2:$B$500,"Millalemu 5"),""))</f>
        <v/>
      </c>
      <c r="L16" s="64">
        <f>IF($A16&gt;DATA_CONFIG!$B$4,"",IF(COUNTIFS(DATA_DIARIO!$A$2:$A$500,$A16,DATA_DIARIO!$B$2:$B$500,"Millalemu 5")&gt;0,SUMIFS(DATA_DIARIO!$D$2:$D$500,DATA_DIARIO!$A$2:$A$500,$A16,DATA_DIARIO!$B$2:$B$500,"Millalemu 5"),""))</f>
        <v/>
      </c>
      <c r="M16" s="54">
        <f>IF($A16&gt;DATA_CONFIG!$B$4,"",IF(COUNTIFS(DATA_DIARIO!$A$2:$A$500,$A16,DATA_DIARIO!$B$2:$B$500,"Millalemu 7")&gt;0,SUMIFS(DATA_DIARIO!$C$2:$C$500,DATA_DIARIO!$A$2:$A$500,$A16,DATA_DIARIO!$B$2:$B$500,"Millalemu 7"),""))</f>
        <v/>
      </c>
      <c r="N16" s="55">
        <f>IF($A16&gt;DATA_CONFIG!$B$4,"",IF(COUNTIFS(DATA_DIARIO!$A$2:$A$500,$A16,DATA_DIARIO!$B$2:$B$500,"Millalemu 7")&gt;0,SUMIFS(DATA_DIARIO!$D$2:$D$500,DATA_DIARIO!$A$2:$A$500,$A16,DATA_DIARIO!$B$2:$B$500,"Millalemu 7"),""))</f>
        <v/>
      </c>
      <c r="O16" s="63">
        <f>IF($A16&gt;DATA_CONFIG!$B$4,"",IF(COUNTIFS(DATA_DIARIO!$A$2:$A$500,$A16,DATA_DIARIO!$B$2:$B$500,"Millalemu 9")&gt;0,SUMIFS(DATA_DIARIO!$C$2:$C$500,DATA_DIARIO!$A$2:$A$500,$A16,DATA_DIARIO!$B$2:$B$500,"Millalemu 9"),""))</f>
        <v/>
      </c>
      <c r="P16" s="64">
        <f>IF($A16&gt;DATA_CONFIG!$B$4,"",IF(COUNTIFS(DATA_DIARIO!$A$2:$A$500,$A16,DATA_DIARIO!$B$2:$B$500,"Millalemu 9")&gt;0,SUMIFS(DATA_DIARIO!$D$2:$D$500,DATA_DIARIO!$A$2:$A$500,$A16,DATA_DIARIO!$B$2:$B$500,"Millalemu 9"),""))</f>
        <v/>
      </c>
      <c r="Q16" s="54">
        <f>IF($A16&gt;DATA_CONFIG!$B$4,"",IF(COUNTIFS(DATA_DIARIO!$A$2:$A$500,$A16,DATA_DIARIO!$B$2:$B$500,"Millalemu 11")&gt;0,SUMIFS(DATA_DIARIO!$C$2:$C$500,DATA_DIARIO!$A$2:$A$500,$A16,DATA_DIARIO!$B$2:$B$500,"Millalemu 11"),""))</f>
        <v/>
      </c>
      <c r="R16" s="55">
        <f>IF($A16&gt;DATA_CONFIG!$B$4,"",IF(COUNTIFS(DATA_DIARIO!$A$2:$A$500,$A16,DATA_DIARIO!$B$2:$B$500,"Millalemu 11")&gt;0,SUMIFS(DATA_DIARIO!$D$2:$D$500,DATA_DIARIO!$A$2:$A$500,$A16,DATA_DIARIO!$B$2:$B$500,"Millalemu 11"),""))</f>
        <v/>
      </c>
      <c r="S16" s="65">
        <f>IF($A16&gt;DATA_CONFIG!$B$4,"",IF(SUMPRODUCT((DATA_DIARIO!$A$2:$A$500=$A16)*1)&gt;0,SUMIFS(DATA_DIARIO!$C$2:$C$500,DATA_DIARIO!$A$2:$A$500,$A16),""))</f>
        <v/>
      </c>
      <c r="T16" s="66">
        <f>IF(S16="","",IFERROR(S16/S5*100,0))</f>
        <v/>
      </c>
      <c r="U16" s="67">
        <f>IF($A16&gt;DATA_CONFIG!$B$4,"",IF(SUMPRODUCT((DATA_TM!$A$2:$A$500=$A16)*1)&gt;0,SUMIFS(DATA_TM!$F$2:$F$500,DATA_TM!$A$2:$A$500,$A16)/60,""))</f>
        <v/>
      </c>
      <c r="V16" s="5">
        <f>IF($A16&gt;DATA_CONFIG!$B$4,"",IFERROR(INDEX(DATA_CONFIG!$B$22:$B$52,MATCH($A16,DATA_CONFIG!$A$22:$A$52,0)),""))</f>
        <v/>
      </c>
    </row>
    <row r="17" ht="13" customHeight="1" s="150">
      <c r="A17" s="3">
        <f>IF(5&gt;DATA_CONFIG!$B$4,"",5)</f>
        <v/>
      </c>
      <c r="B17" s="4">
        <f>IF($A17&gt;DATA_CONFIG!$B$4,"",TEXT(DATE(DATA_CONFIG!$B$3,DATA_CONFIG!$B$2,$A17),"ddd"))</f>
        <v/>
      </c>
      <c r="C17" s="63">
        <f>IF($A17&gt;DATA_CONFIG!$B$4,"",IF(COUNTIFS(DATA_DIARIO!$A$2:$A$500,$A17,DATA_DIARIO!$B$2:$B$500,"Millalemu 1.1")&gt;0,SUMIFS(DATA_DIARIO!$C$2:$C$500,DATA_DIARIO!$A$2:$A$500,$A17,DATA_DIARIO!$B$2:$B$500,"Millalemu 1.1"),""))</f>
        <v/>
      </c>
      <c r="D17" s="64">
        <f>IF($A17&gt;DATA_CONFIG!$B$4,"",IF(COUNTIFS(DATA_DIARIO!$A$2:$A$500,$A17,DATA_DIARIO!$B$2:$B$500,"Millalemu 1.1")&gt;0,SUMIFS(DATA_DIARIO!$D$2:$D$500,DATA_DIARIO!$A$2:$A$500,$A17,DATA_DIARIO!$B$2:$B$500,"Millalemu 1.1"),""))</f>
        <v/>
      </c>
      <c r="E17" s="56">
        <f>IF($A17&gt;DATA_CONFIG!$B$4,"",IF(COUNTIFS(DATA_DIARIO!$A$2:$A$500,$A17,DATA_DIARIO!$B$2:$B$500,"Millalemu 1.2")&gt;0,SUMIFS(DATA_DIARIO!$C$2:$C$500,DATA_DIARIO!$A$2:$A$500,$A17,DATA_DIARIO!$B$2:$B$500,"Millalemu 1.2"),""))</f>
        <v/>
      </c>
      <c r="F17" s="57">
        <f>IF($A17&gt;DATA_CONFIG!$B$4,"",IF(COUNTIFS(DATA_DIARIO!$A$2:$A$500,$A17,DATA_DIARIO!$B$2:$B$500,"Millalemu 1.2")&gt;0,SUMIFS(DATA_DIARIO!$D$2:$D$500,DATA_DIARIO!$A$2:$A$500,$A17,DATA_DIARIO!$B$2:$B$500,"Millalemu 1.2"),""))</f>
        <v/>
      </c>
      <c r="G17" s="63">
        <f>IF($A17&gt;DATA_CONFIG!$B$4,"",IF(COUNTIFS(DATA_DIARIO!$A$2:$A$500,$A17,DATA_DIARIO!$B$2:$B$500,"Millalemu 1.3")&gt;0,SUMIFS(DATA_DIARIO!$C$2:$C$500,DATA_DIARIO!$A$2:$A$500,$A17,DATA_DIARIO!$B$2:$B$500,"Millalemu 1.3"),""))</f>
        <v/>
      </c>
      <c r="H17" s="64">
        <f>IF($A17&gt;DATA_CONFIG!$B$4,"",IF(COUNTIFS(DATA_DIARIO!$A$2:$A$500,$A17,DATA_DIARIO!$B$2:$B$500,"Millalemu 1.3")&gt;0,SUMIFS(DATA_DIARIO!$D$2:$D$500,DATA_DIARIO!$A$2:$A$500,$A17,DATA_DIARIO!$B$2:$B$500,"Millalemu 1.3"),""))</f>
        <v/>
      </c>
      <c r="I17" s="54">
        <f>IF($A17&gt;DATA_CONFIG!$B$4,"",IF(COUNTIFS(DATA_DIARIO!$A$2:$A$500,$A17,DATA_DIARIO!$B$2:$B$500,"Millalemu 1.4")&gt;0,SUMIFS(DATA_DIARIO!$C$2:$C$500,DATA_DIARIO!$A$2:$A$500,$A17,DATA_DIARIO!$B$2:$B$500,"Millalemu 1.4"),""))</f>
        <v/>
      </c>
      <c r="J17" s="55">
        <f>IF($A17&gt;DATA_CONFIG!$B$4,"",IF(COUNTIFS(DATA_DIARIO!$A$2:$A$500,$A17,DATA_DIARIO!$B$2:$B$500,"Millalemu 1.4")&gt;0,SUMIFS(DATA_DIARIO!$D$2:$D$500,DATA_DIARIO!$A$2:$A$500,$A17,DATA_DIARIO!$B$2:$B$500,"Millalemu 1.4"),""))</f>
        <v/>
      </c>
      <c r="K17" s="63">
        <f>IF($A17&gt;DATA_CONFIG!$B$4,"",IF(COUNTIFS(DATA_DIARIO!$A$2:$A$500,$A17,DATA_DIARIO!$B$2:$B$500,"Millalemu 5")&gt;0,SUMIFS(DATA_DIARIO!$C$2:$C$500,DATA_DIARIO!$A$2:$A$500,$A17,DATA_DIARIO!$B$2:$B$500,"Millalemu 5"),""))</f>
        <v/>
      </c>
      <c r="L17" s="64">
        <f>IF($A17&gt;DATA_CONFIG!$B$4,"",IF(COUNTIFS(DATA_DIARIO!$A$2:$A$500,$A17,DATA_DIARIO!$B$2:$B$500,"Millalemu 5")&gt;0,SUMIFS(DATA_DIARIO!$D$2:$D$500,DATA_DIARIO!$A$2:$A$500,$A17,DATA_DIARIO!$B$2:$B$500,"Millalemu 5"),""))</f>
        <v/>
      </c>
      <c r="M17" s="54">
        <f>IF($A17&gt;DATA_CONFIG!$B$4,"",IF(COUNTIFS(DATA_DIARIO!$A$2:$A$500,$A17,DATA_DIARIO!$B$2:$B$500,"Millalemu 7")&gt;0,SUMIFS(DATA_DIARIO!$C$2:$C$500,DATA_DIARIO!$A$2:$A$500,$A17,DATA_DIARIO!$B$2:$B$500,"Millalemu 7"),""))</f>
        <v/>
      </c>
      <c r="N17" s="55">
        <f>IF($A17&gt;DATA_CONFIG!$B$4,"",IF(COUNTIFS(DATA_DIARIO!$A$2:$A$500,$A17,DATA_DIARIO!$B$2:$B$500,"Millalemu 7")&gt;0,SUMIFS(DATA_DIARIO!$D$2:$D$500,DATA_DIARIO!$A$2:$A$500,$A17,DATA_DIARIO!$B$2:$B$500,"Millalemu 7"),""))</f>
        <v/>
      </c>
      <c r="O17" s="63">
        <f>IF($A17&gt;DATA_CONFIG!$B$4,"",IF(COUNTIFS(DATA_DIARIO!$A$2:$A$500,$A17,DATA_DIARIO!$B$2:$B$500,"Millalemu 9")&gt;0,SUMIFS(DATA_DIARIO!$C$2:$C$500,DATA_DIARIO!$A$2:$A$500,$A17,DATA_DIARIO!$B$2:$B$500,"Millalemu 9"),""))</f>
        <v/>
      </c>
      <c r="P17" s="64">
        <f>IF($A17&gt;DATA_CONFIG!$B$4,"",IF(COUNTIFS(DATA_DIARIO!$A$2:$A$500,$A17,DATA_DIARIO!$B$2:$B$500,"Millalemu 9")&gt;0,SUMIFS(DATA_DIARIO!$D$2:$D$500,DATA_DIARIO!$A$2:$A$500,$A17,DATA_DIARIO!$B$2:$B$500,"Millalemu 9"),""))</f>
        <v/>
      </c>
      <c r="Q17" s="54">
        <f>IF($A17&gt;DATA_CONFIG!$B$4,"",IF(COUNTIFS(DATA_DIARIO!$A$2:$A$500,$A17,DATA_DIARIO!$B$2:$B$500,"Millalemu 11")&gt;0,SUMIFS(DATA_DIARIO!$C$2:$C$500,DATA_DIARIO!$A$2:$A$500,$A17,DATA_DIARIO!$B$2:$B$500,"Millalemu 11"),""))</f>
        <v/>
      </c>
      <c r="R17" s="55">
        <f>IF($A17&gt;DATA_CONFIG!$B$4,"",IF(COUNTIFS(DATA_DIARIO!$A$2:$A$500,$A17,DATA_DIARIO!$B$2:$B$500,"Millalemu 11")&gt;0,SUMIFS(DATA_DIARIO!$D$2:$D$500,DATA_DIARIO!$A$2:$A$500,$A17,DATA_DIARIO!$B$2:$B$500,"Millalemu 11"),""))</f>
        <v/>
      </c>
      <c r="S17" s="65">
        <f>IF($A17&gt;DATA_CONFIG!$B$4,"",IF(SUMPRODUCT((DATA_DIARIO!$A$2:$A$500=$A17)*1)&gt;0,SUMIFS(DATA_DIARIO!$C$2:$C$500,DATA_DIARIO!$A$2:$A$500,$A17),""))</f>
        <v/>
      </c>
      <c r="T17" s="66">
        <f>IF(S17="","",IFERROR(S17/S5*100,0))</f>
        <v/>
      </c>
      <c r="U17" s="67">
        <f>IF($A17&gt;DATA_CONFIG!$B$4,"",IF(SUMPRODUCT((DATA_TM!$A$2:$A$500=$A17)*1)&gt;0,SUMIFS(DATA_TM!$F$2:$F$500,DATA_TM!$A$2:$A$500,$A17)/60,""))</f>
        <v/>
      </c>
      <c r="V17" s="5">
        <f>IF($A17&gt;DATA_CONFIG!$B$4,"",IFERROR(INDEX(DATA_CONFIG!$B$22:$B$52,MATCH($A17,DATA_CONFIG!$A$22:$A$52,0)),""))</f>
        <v/>
      </c>
    </row>
    <row r="18" ht="13" customHeight="1" s="150">
      <c r="A18" s="3">
        <f>IF(6&gt;DATA_CONFIG!$B$4,"",6)</f>
        <v/>
      </c>
      <c r="B18" s="4">
        <f>IF($A18&gt;DATA_CONFIG!$B$4,"",TEXT(DATE(DATA_CONFIG!$B$3,DATA_CONFIG!$B$2,$A18),"ddd"))</f>
        <v/>
      </c>
      <c r="C18" s="63">
        <f>IF($A18&gt;DATA_CONFIG!$B$4,"",IF(COUNTIFS(DATA_DIARIO!$A$2:$A$500,$A18,DATA_DIARIO!$B$2:$B$500,"Millalemu 1.1")&gt;0,SUMIFS(DATA_DIARIO!$C$2:$C$500,DATA_DIARIO!$A$2:$A$500,$A18,DATA_DIARIO!$B$2:$B$500,"Millalemu 1.1"),""))</f>
        <v/>
      </c>
      <c r="D18" s="64">
        <f>IF($A18&gt;DATA_CONFIG!$B$4,"",IF(COUNTIFS(DATA_DIARIO!$A$2:$A$500,$A18,DATA_DIARIO!$B$2:$B$500,"Millalemu 1.1")&gt;0,SUMIFS(DATA_DIARIO!$D$2:$D$500,DATA_DIARIO!$A$2:$A$500,$A18,DATA_DIARIO!$B$2:$B$500,"Millalemu 1.1"),""))</f>
        <v/>
      </c>
      <c r="E18" s="56">
        <f>IF($A18&gt;DATA_CONFIG!$B$4,"",IF(COUNTIFS(DATA_DIARIO!$A$2:$A$500,$A18,DATA_DIARIO!$B$2:$B$500,"Millalemu 1.2")&gt;0,SUMIFS(DATA_DIARIO!$C$2:$C$500,DATA_DIARIO!$A$2:$A$500,$A18,DATA_DIARIO!$B$2:$B$500,"Millalemu 1.2"),""))</f>
        <v/>
      </c>
      <c r="F18" s="57">
        <f>IF($A18&gt;DATA_CONFIG!$B$4,"",IF(COUNTIFS(DATA_DIARIO!$A$2:$A$500,$A18,DATA_DIARIO!$B$2:$B$500,"Millalemu 1.2")&gt;0,SUMIFS(DATA_DIARIO!$D$2:$D$500,DATA_DIARIO!$A$2:$A$500,$A18,DATA_DIARIO!$B$2:$B$500,"Millalemu 1.2"),""))</f>
        <v/>
      </c>
      <c r="G18" s="63">
        <f>IF($A18&gt;DATA_CONFIG!$B$4,"",IF(COUNTIFS(DATA_DIARIO!$A$2:$A$500,$A18,DATA_DIARIO!$B$2:$B$500,"Millalemu 1.3")&gt;0,SUMIFS(DATA_DIARIO!$C$2:$C$500,DATA_DIARIO!$A$2:$A$500,$A18,DATA_DIARIO!$B$2:$B$500,"Millalemu 1.3"),""))</f>
        <v/>
      </c>
      <c r="H18" s="64">
        <f>IF($A18&gt;DATA_CONFIG!$B$4,"",IF(COUNTIFS(DATA_DIARIO!$A$2:$A$500,$A18,DATA_DIARIO!$B$2:$B$500,"Millalemu 1.3")&gt;0,SUMIFS(DATA_DIARIO!$D$2:$D$500,DATA_DIARIO!$A$2:$A$500,$A18,DATA_DIARIO!$B$2:$B$500,"Millalemu 1.3"),""))</f>
        <v/>
      </c>
      <c r="I18" s="54">
        <f>IF($A18&gt;DATA_CONFIG!$B$4,"",IF(COUNTIFS(DATA_DIARIO!$A$2:$A$500,$A18,DATA_DIARIO!$B$2:$B$500,"Millalemu 1.4")&gt;0,SUMIFS(DATA_DIARIO!$C$2:$C$500,DATA_DIARIO!$A$2:$A$500,$A18,DATA_DIARIO!$B$2:$B$500,"Millalemu 1.4"),""))</f>
        <v/>
      </c>
      <c r="J18" s="55">
        <f>IF($A18&gt;DATA_CONFIG!$B$4,"",IF(COUNTIFS(DATA_DIARIO!$A$2:$A$500,$A18,DATA_DIARIO!$B$2:$B$500,"Millalemu 1.4")&gt;0,SUMIFS(DATA_DIARIO!$D$2:$D$500,DATA_DIARIO!$A$2:$A$500,$A18,DATA_DIARIO!$B$2:$B$500,"Millalemu 1.4"),""))</f>
        <v/>
      </c>
      <c r="K18" s="63">
        <f>IF($A18&gt;DATA_CONFIG!$B$4,"",IF(COUNTIFS(DATA_DIARIO!$A$2:$A$500,$A18,DATA_DIARIO!$B$2:$B$500,"Millalemu 5")&gt;0,SUMIFS(DATA_DIARIO!$C$2:$C$500,DATA_DIARIO!$A$2:$A$500,$A18,DATA_DIARIO!$B$2:$B$500,"Millalemu 5"),""))</f>
        <v/>
      </c>
      <c r="L18" s="64">
        <f>IF($A18&gt;DATA_CONFIG!$B$4,"",IF(COUNTIFS(DATA_DIARIO!$A$2:$A$500,$A18,DATA_DIARIO!$B$2:$B$500,"Millalemu 5")&gt;0,SUMIFS(DATA_DIARIO!$D$2:$D$500,DATA_DIARIO!$A$2:$A$500,$A18,DATA_DIARIO!$B$2:$B$500,"Millalemu 5"),""))</f>
        <v/>
      </c>
      <c r="M18" s="54">
        <f>IF($A18&gt;DATA_CONFIG!$B$4,"",IF(COUNTIFS(DATA_DIARIO!$A$2:$A$500,$A18,DATA_DIARIO!$B$2:$B$500,"Millalemu 7")&gt;0,SUMIFS(DATA_DIARIO!$C$2:$C$500,DATA_DIARIO!$A$2:$A$500,$A18,DATA_DIARIO!$B$2:$B$500,"Millalemu 7"),""))</f>
        <v/>
      </c>
      <c r="N18" s="55">
        <f>IF($A18&gt;DATA_CONFIG!$B$4,"",IF(COUNTIFS(DATA_DIARIO!$A$2:$A$500,$A18,DATA_DIARIO!$B$2:$B$500,"Millalemu 7")&gt;0,SUMIFS(DATA_DIARIO!$D$2:$D$500,DATA_DIARIO!$A$2:$A$500,$A18,DATA_DIARIO!$B$2:$B$500,"Millalemu 7"),""))</f>
        <v/>
      </c>
      <c r="O18" s="63">
        <f>IF($A18&gt;DATA_CONFIG!$B$4,"",IF(COUNTIFS(DATA_DIARIO!$A$2:$A$500,$A18,DATA_DIARIO!$B$2:$B$500,"Millalemu 9")&gt;0,SUMIFS(DATA_DIARIO!$C$2:$C$500,DATA_DIARIO!$A$2:$A$500,$A18,DATA_DIARIO!$B$2:$B$500,"Millalemu 9"),""))</f>
        <v/>
      </c>
      <c r="P18" s="64">
        <f>IF($A18&gt;DATA_CONFIG!$B$4,"",IF(COUNTIFS(DATA_DIARIO!$A$2:$A$500,$A18,DATA_DIARIO!$B$2:$B$500,"Millalemu 9")&gt;0,SUMIFS(DATA_DIARIO!$D$2:$D$500,DATA_DIARIO!$A$2:$A$500,$A18,DATA_DIARIO!$B$2:$B$500,"Millalemu 9"),""))</f>
        <v/>
      </c>
      <c r="Q18" s="54">
        <f>IF($A18&gt;DATA_CONFIG!$B$4,"",IF(COUNTIFS(DATA_DIARIO!$A$2:$A$500,$A18,DATA_DIARIO!$B$2:$B$500,"Millalemu 11")&gt;0,SUMIFS(DATA_DIARIO!$C$2:$C$500,DATA_DIARIO!$A$2:$A$500,$A18,DATA_DIARIO!$B$2:$B$500,"Millalemu 11"),""))</f>
        <v/>
      </c>
      <c r="R18" s="55">
        <f>IF($A18&gt;DATA_CONFIG!$B$4,"",IF(COUNTIFS(DATA_DIARIO!$A$2:$A$500,$A18,DATA_DIARIO!$B$2:$B$500,"Millalemu 11")&gt;0,SUMIFS(DATA_DIARIO!$D$2:$D$500,DATA_DIARIO!$A$2:$A$500,$A18,DATA_DIARIO!$B$2:$B$500,"Millalemu 11"),""))</f>
        <v/>
      </c>
      <c r="S18" s="65">
        <f>IF($A18&gt;DATA_CONFIG!$B$4,"",IF(SUMPRODUCT((DATA_DIARIO!$A$2:$A$500=$A18)*1)&gt;0,SUMIFS(DATA_DIARIO!$C$2:$C$500,DATA_DIARIO!$A$2:$A$500,$A18),""))</f>
        <v/>
      </c>
      <c r="T18" s="66">
        <f>IF(S18="","",IFERROR(S18/S5*100,0))</f>
        <v/>
      </c>
      <c r="U18" s="67">
        <f>IF($A18&gt;DATA_CONFIG!$B$4,"",IF(SUMPRODUCT((DATA_TM!$A$2:$A$500=$A18)*1)&gt;0,SUMIFS(DATA_TM!$F$2:$F$500,DATA_TM!$A$2:$A$500,$A18)/60,""))</f>
        <v/>
      </c>
      <c r="V18" s="5">
        <f>IF($A18&gt;DATA_CONFIG!$B$4,"",IFERROR(INDEX(DATA_CONFIG!$B$22:$B$52,MATCH($A18,DATA_CONFIG!$A$22:$A$52,0)),""))</f>
        <v/>
      </c>
    </row>
    <row r="19" ht="13" customHeight="1" s="150">
      <c r="A19" s="3">
        <f>IF(7&gt;DATA_CONFIG!$B$4,"",7)</f>
        <v/>
      </c>
      <c r="B19" s="4">
        <f>IF($A19&gt;DATA_CONFIG!$B$4,"",TEXT(DATE(DATA_CONFIG!$B$3,DATA_CONFIG!$B$2,$A19),"ddd"))</f>
        <v/>
      </c>
      <c r="C19" s="63">
        <f>IF($A19&gt;DATA_CONFIG!$B$4,"",IF(COUNTIFS(DATA_DIARIO!$A$2:$A$500,$A19,DATA_DIARIO!$B$2:$B$500,"Millalemu 1.1")&gt;0,SUMIFS(DATA_DIARIO!$C$2:$C$500,DATA_DIARIO!$A$2:$A$500,$A19,DATA_DIARIO!$B$2:$B$500,"Millalemu 1.1"),""))</f>
        <v/>
      </c>
      <c r="D19" s="64">
        <f>IF($A19&gt;DATA_CONFIG!$B$4,"",IF(COUNTIFS(DATA_DIARIO!$A$2:$A$500,$A19,DATA_DIARIO!$B$2:$B$500,"Millalemu 1.1")&gt;0,SUMIFS(DATA_DIARIO!$D$2:$D$500,DATA_DIARIO!$A$2:$A$500,$A19,DATA_DIARIO!$B$2:$B$500,"Millalemu 1.1"),""))</f>
        <v/>
      </c>
      <c r="E19" s="56">
        <f>IF($A19&gt;DATA_CONFIG!$B$4,"",IF(COUNTIFS(DATA_DIARIO!$A$2:$A$500,$A19,DATA_DIARIO!$B$2:$B$500,"Millalemu 1.2")&gt;0,SUMIFS(DATA_DIARIO!$C$2:$C$500,DATA_DIARIO!$A$2:$A$500,$A19,DATA_DIARIO!$B$2:$B$500,"Millalemu 1.2"),""))</f>
        <v/>
      </c>
      <c r="F19" s="57">
        <f>IF($A19&gt;DATA_CONFIG!$B$4,"",IF(COUNTIFS(DATA_DIARIO!$A$2:$A$500,$A19,DATA_DIARIO!$B$2:$B$500,"Millalemu 1.2")&gt;0,SUMIFS(DATA_DIARIO!$D$2:$D$500,DATA_DIARIO!$A$2:$A$500,$A19,DATA_DIARIO!$B$2:$B$500,"Millalemu 1.2"),""))</f>
        <v/>
      </c>
      <c r="G19" s="63">
        <f>IF($A19&gt;DATA_CONFIG!$B$4,"",IF(COUNTIFS(DATA_DIARIO!$A$2:$A$500,$A19,DATA_DIARIO!$B$2:$B$500,"Millalemu 1.3")&gt;0,SUMIFS(DATA_DIARIO!$C$2:$C$500,DATA_DIARIO!$A$2:$A$500,$A19,DATA_DIARIO!$B$2:$B$500,"Millalemu 1.3"),""))</f>
        <v/>
      </c>
      <c r="H19" s="64">
        <f>IF($A19&gt;DATA_CONFIG!$B$4,"",IF(COUNTIFS(DATA_DIARIO!$A$2:$A$500,$A19,DATA_DIARIO!$B$2:$B$500,"Millalemu 1.3")&gt;0,SUMIFS(DATA_DIARIO!$D$2:$D$500,DATA_DIARIO!$A$2:$A$500,$A19,DATA_DIARIO!$B$2:$B$500,"Millalemu 1.3"),""))</f>
        <v/>
      </c>
      <c r="I19" s="54">
        <f>IF($A19&gt;DATA_CONFIG!$B$4,"",IF(COUNTIFS(DATA_DIARIO!$A$2:$A$500,$A19,DATA_DIARIO!$B$2:$B$500,"Millalemu 1.4")&gt;0,SUMIFS(DATA_DIARIO!$C$2:$C$500,DATA_DIARIO!$A$2:$A$500,$A19,DATA_DIARIO!$B$2:$B$500,"Millalemu 1.4"),""))</f>
        <v/>
      </c>
      <c r="J19" s="55">
        <f>IF($A19&gt;DATA_CONFIG!$B$4,"",IF(COUNTIFS(DATA_DIARIO!$A$2:$A$500,$A19,DATA_DIARIO!$B$2:$B$500,"Millalemu 1.4")&gt;0,SUMIFS(DATA_DIARIO!$D$2:$D$500,DATA_DIARIO!$A$2:$A$500,$A19,DATA_DIARIO!$B$2:$B$500,"Millalemu 1.4"),""))</f>
        <v/>
      </c>
      <c r="K19" s="63">
        <f>IF($A19&gt;DATA_CONFIG!$B$4,"",IF(COUNTIFS(DATA_DIARIO!$A$2:$A$500,$A19,DATA_DIARIO!$B$2:$B$500,"Millalemu 5")&gt;0,SUMIFS(DATA_DIARIO!$C$2:$C$500,DATA_DIARIO!$A$2:$A$500,$A19,DATA_DIARIO!$B$2:$B$500,"Millalemu 5"),""))</f>
        <v/>
      </c>
      <c r="L19" s="64">
        <f>IF($A19&gt;DATA_CONFIG!$B$4,"",IF(COUNTIFS(DATA_DIARIO!$A$2:$A$500,$A19,DATA_DIARIO!$B$2:$B$500,"Millalemu 5")&gt;0,SUMIFS(DATA_DIARIO!$D$2:$D$500,DATA_DIARIO!$A$2:$A$500,$A19,DATA_DIARIO!$B$2:$B$500,"Millalemu 5"),""))</f>
        <v/>
      </c>
      <c r="M19" s="54">
        <f>IF($A19&gt;DATA_CONFIG!$B$4,"",IF(COUNTIFS(DATA_DIARIO!$A$2:$A$500,$A19,DATA_DIARIO!$B$2:$B$500,"Millalemu 7")&gt;0,SUMIFS(DATA_DIARIO!$C$2:$C$500,DATA_DIARIO!$A$2:$A$500,$A19,DATA_DIARIO!$B$2:$B$500,"Millalemu 7"),""))</f>
        <v/>
      </c>
      <c r="N19" s="55">
        <f>IF($A19&gt;DATA_CONFIG!$B$4,"",IF(COUNTIFS(DATA_DIARIO!$A$2:$A$500,$A19,DATA_DIARIO!$B$2:$B$500,"Millalemu 7")&gt;0,SUMIFS(DATA_DIARIO!$D$2:$D$500,DATA_DIARIO!$A$2:$A$500,$A19,DATA_DIARIO!$B$2:$B$500,"Millalemu 7"),""))</f>
        <v/>
      </c>
      <c r="O19" s="63">
        <f>IF($A19&gt;DATA_CONFIG!$B$4,"",IF(COUNTIFS(DATA_DIARIO!$A$2:$A$500,$A19,DATA_DIARIO!$B$2:$B$500,"Millalemu 9")&gt;0,SUMIFS(DATA_DIARIO!$C$2:$C$500,DATA_DIARIO!$A$2:$A$500,$A19,DATA_DIARIO!$B$2:$B$500,"Millalemu 9"),""))</f>
        <v/>
      </c>
      <c r="P19" s="64">
        <f>IF($A19&gt;DATA_CONFIG!$B$4,"",IF(COUNTIFS(DATA_DIARIO!$A$2:$A$500,$A19,DATA_DIARIO!$B$2:$B$500,"Millalemu 9")&gt;0,SUMIFS(DATA_DIARIO!$D$2:$D$500,DATA_DIARIO!$A$2:$A$500,$A19,DATA_DIARIO!$B$2:$B$500,"Millalemu 9"),""))</f>
        <v/>
      </c>
      <c r="Q19" s="54">
        <f>IF($A19&gt;DATA_CONFIG!$B$4,"",IF(COUNTIFS(DATA_DIARIO!$A$2:$A$500,$A19,DATA_DIARIO!$B$2:$B$500,"Millalemu 11")&gt;0,SUMIFS(DATA_DIARIO!$C$2:$C$500,DATA_DIARIO!$A$2:$A$500,$A19,DATA_DIARIO!$B$2:$B$500,"Millalemu 11"),""))</f>
        <v/>
      </c>
      <c r="R19" s="55">
        <f>IF($A19&gt;DATA_CONFIG!$B$4,"",IF(COUNTIFS(DATA_DIARIO!$A$2:$A$500,$A19,DATA_DIARIO!$B$2:$B$500,"Millalemu 11")&gt;0,SUMIFS(DATA_DIARIO!$D$2:$D$500,DATA_DIARIO!$A$2:$A$500,$A19,DATA_DIARIO!$B$2:$B$500,"Millalemu 11"),""))</f>
        <v/>
      </c>
      <c r="S19" s="65">
        <f>IF($A19&gt;DATA_CONFIG!$B$4,"",IF(SUMPRODUCT((DATA_DIARIO!$A$2:$A$500=$A19)*1)&gt;0,SUMIFS(DATA_DIARIO!$C$2:$C$500,DATA_DIARIO!$A$2:$A$500,$A19),""))</f>
        <v/>
      </c>
      <c r="T19" s="66">
        <f>IF(S19="","",IFERROR(S19/S5*100,0))</f>
        <v/>
      </c>
      <c r="U19" s="67">
        <f>IF($A19&gt;DATA_CONFIG!$B$4,"",IF(SUMPRODUCT((DATA_TM!$A$2:$A$500=$A19)*1)&gt;0,SUMIFS(DATA_TM!$F$2:$F$500,DATA_TM!$A$2:$A$500,$A19)/60,""))</f>
        <v/>
      </c>
      <c r="V19" s="5">
        <f>IF($A19&gt;DATA_CONFIG!$B$4,"",IFERROR(INDEX(DATA_CONFIG!$B$22:$B$52,MATCH($A19,DATA_CONFIG!$A$22:$A$52,0)),""))</f>
        <v/>
      </c>
    </row>
    <row r="20" ht="13" customHeight="1" s="150">
      <c r="A20" s="3">
        <f>IF(8&gt;DATA_CONFIG!$B$4,"",8)</f>
        <v/>
      </c>
      <c r="B20" s="4">
        <f>IF($A20&gt;DATA_CONFIG!$B$4,"",TEXT(DATE(DATA_CONFIG!$B$3,DATA_CONFIG!$B$2,$A20),"ddd"))</f>
        <v/>
      </c>
      <c r="C20" s="63">
        <f>IF($A20&gt;DATA_CONFIG!$B$4,"",IF(COUNTIFS(DATA_DIARIO!$A$2:$A$500,$A20,DATA_DIARIO!$B$2:$B$500,"Millalemu 1.1")&gt;0,SUMIFS(DATA_DIARIO!$C$2:$C$500,DATA_DIARIO!$A$2:$A$500,$A20,DATA_DIARIO!$B$2:$B$500,"Millalemu 1.1"),""))</f>
        <v/>
      </c>
      <c r="D20" s="64">
        <f>IF($A20&gt;DATA_CONFIG!$B$4,"",IF(COUNTIFS(DATA_DIARIO!$A$2:$A$500,$A20,DATA_DIARIO!$B$2:$B$500,"Millalemu 1.1")&gt;0,SUMIFS(DATA_DIARIO!$D$2:$D$500,DATA_DIARIO!$A$2:$A$500,$A20,DATA_DIARIO!$B$2:$B$500,"Millalemu 1.1"),""))</f>
        <v/>
      </c>
      <c r="E20" s="56">
        <f>IF($A20&gt;DATA_CONFIG!$B$4,"",IF(COUNTIFS(DATA_DIARIO!$A$2:$A$500,$A20,DATA_DIARIO!$B$2:$B$500,"Millalemu 1.2")&gt;0,SUMIFS(DATA_DIARIO!$C$2:$C$500,DATA_DIARIO!$A$2:$A$500,$A20,DATA_DIARIO!$B$2:$B$500,"Millalemu 1.2"),""))</f>
        <v/>
      </c>
      <c r="F20" s="57">
        <f>IF($A20&gt;DATA_CONFIG!$B$4,"",IF(COUNTIFS(DATA_DIARIO!$A$2:$A$500,$A20,DATA_DIARIO!$B$2:$B$500,"Millalemu 1.2")&gt;0,SUMIFS(DATA_DIARIO!$D$2:$D$500,DATA_DIARIO!$A$2:$A$500,$A20,DATA_DIARIO!$B$2:$B$500,"Millalemu 1.2"),""))</f>
        <v/>
      </c>
      <c r="G20" s="63">
        <f>IF($A20&gt;DATA_CONFIG!$B$4,"",IF(COUNTIFS(DATA_DIARIO!$A$2:$A$500,$A20,DATA_DIARIO!$B$2:$B$500,"Millalemu 1.3")&gt;0,SUMIFS(DATA_DIARIO!$C$2:$C$500,DATA_DIARIO!$A$2:$A$500,$A20,DATA_DIARIO!$B$2:$B$500,"Millalemu 1.3"),""))</f>
        <v/>
      </c>
      <c r="H20" s="64">
        <f>IF($A20&gt;DATA_CONFIG!$B$4,"",IF(COUNTIFS(DATA_DIARIO!$A$2:$A$500,$A20,DATA_DIARIO!$B$2:$B$500,"Millalemu 1.3")&gt;0,SUMIFS(DATA_DIARIO!$D$2:$D$500,DATA_DIARIO!$A$2:$A$500,$A20,DATA_DIARIO!$B$2:$B$500,"Millalemu 1.3"),""))</f>
        <v/>
      </c>
      <c r="I20" s="54">
        <f>IF($A20&gt;DATA_CONFIG!$B$4,"",IF(COUNTIFS(DATA_DIARIO!$A$2:$A$500,$A20,DATA_DIARIO!$B$2:$B$500,"Millalemu 1.4")&gt;0,SUMIFS(DATA_DIARIO!$C$2:$C$500,DATA_DIARIO!$A$2:$A$500,$A20,DATA_DIARIO!$B$2:$B$500,"Millalemu 1.4"),""))</f>
        <v/>
      </c>
      <c r="J20" s="55">
        <f>IF($A20&gt;DATA_CONFIG!$B$4,"",IF(COUNTIFS(DATA_DIARIO!$A$2:$A$500,$A20,DATA_DIARIO!$B$2:$B$500,"Millalemu 1.4")&gt;0,SUMIFS(DATA_DIARIO!$D$2:$D$500,DATA_DIARIO!$A$2:$A$500,$A20,DATA_DIARIO!$B$2:$B$500,"Millalemu 1.4"),""))</f>
        <v/>
      </c>
      <c r="K20" s="63">
        <f>IF($A20&gt;DATA_CONFIG!$B$4,"",IF(COUNTIFS(DATA_DIARIO!$A$2:$A$500,$A20,DATA_DIARIO!$B$2:$B$500,"Millalemu 5")&gt;0,SUMIFS(DATA_DIARIO!$C$2:$C$500,DATA_DIARIO!$A$2:$A$500,$A20,DATA_DIARIO!$B$2:$B$500,"Millalemu 5"),""))</f>
        <v/>
      </c>
      <c r="L20" s="64">
        <f>IF($A20&gt;DATA_CONFIG!$B$4,"",IF(COUNTIFS(DATA_DIARIO!$A$2:$A$500,$A20,DATA_DIARIO!$B$2:$B$500,"Millalemu 5")&gt;0,SUMIFS(DATA_DIARIO!$D$2:$D$500,DATA_DIARIO!$A$2:$A$500,$A20,DATA_DIARIO!$B$2:$B$500,"Millalemu 5"),""))</f>
        <v/>
      </c>
      <c r="M20" s="54">
        <f>IF($A20&gt;DATA_CONFIG!$B$4,"",IF(COUNTIFS(DATA_DIARIO!$A$2:$A$500,$A20,DATA_DIARIO!$B$2:$B$500,"Millalemu 7")&gt;0,SUMIFS(DATA_DIARIO!$C$2:$C$500,DATA_DIARIO!$A$2:$A$500,$A20,DATA_DIARIO!$B$2:$B$500,"Millalemu 7"),""))</f>
        <v/>
      </c>
      <c r="N20" s="55">
        <f>IF($A20&gt;DATA_CONFIG!$B$4,"",IF(COUNTIFS(DATA_DIARIO!$A$2:$A$500,$A20,DATA_DIARIO!$B$2:$B$500,"Millalemu 7")&gt;0,SUMIFS(DATA_DIARIO!$D$2:$D$500,DATA_DIARIO!$A$2:$A$500,$A20,DATA_DIARIO!$B$2:$B$500,"Millalemu 7"),""))</f>
        <v/>
      </c>
      <c r="O20" s="63">
        <f>IF($A20&gt;DATA_CONFIG!$B$4,"",IF(COUNTIFS(DATA_DIARIO!$A$2:$A$500,$A20,DATA_DIARIO!$B$2:$B$500,"Millalemu 9")&gt;0,SUMIFS(DATA_DIARIO!$C$2:$C$500,DATA_DIARIO!$A$2:$A$500,$A20,DATA_DIARIO!$B$2:$B$500,"Millalemu 9"),""))</f>
        <v/>
      </c>
      <c r="P20" s="64">
        <f>IF($A20&gt;DATA_CONFIG!$B$4,"",IF(COUNTIFS(DATA_DIARIO!$A$2:$A$500,$A20,DATA_DIARIO!$B$2:$B$500,"Millalemu 9")&gt;0,SUMIFS(DATA_DIARIO!$D$2:$D$500,DATA_DIARIO!$A$2:$A$500,$A20,DATA_DIARIO!$B$2:$B$500,"Millalemu 9"),""))</f>
        <v/>
      </c>
      <c r="Q20" s="54">
        <f>IF($A20&gt;DATA_CONFIG!$B$4,"",IF(COUNTIFS(DATA_DIARIO!$A$2:$A$500,$A20,DATA_DIARIO!$B$2:$B$500,"Millalemu 11")&gt;0,SUMIFS(DATA_DIARIO!$C$2:$C$500,DATA_DIARIO!$A$2:$A$500,$A20,DATA_DIARIO!$B$2:$B$500,"Millalemu 11"),""))</f>
        <v/>
      </c>
      <c r="R20" s="55">
        <f>IF($A20&gt;DATA_CONFIG!$B$4,"",IF(COUNTIFS(DATA_DIARIO!$A$2:$A$500,$A20,DATA_DIARIO!$B$2:$B$500,"Millalemu 11")&gt;0,SUMIFS(DATA_DIARIO!$D$2:$D$500,DATA_DIARIO!$A$2:$A$500,$A20,DATA_DIARIO!$B$2:$B$500,"Millalemu 11"),""))</f>
        <v/>
      </c>
      <c r="S20" s="65">
        <f>IF($A20&gt;DATA_CONFIG!$B$4,"",IF(SUMPRODUCT((DATA_DIARIO!$A$2:$A$500=$A20)*1)&gt;0,SUMIFS(DATA_DIARIO!$C$2:$C$500,DATA_DIARIO!$A$2:$A$500,$A20),""))</f>
        <v/>
      </c>
      <c r="T20" s="66">
        <f>IF(S20="","",IFERROR(S20/S5*100,0))</f>
        <v/>
      </c>
      <c r="U20" s="67">
        <f>IF($A20&gt;DATA_CONFIG!$B$4,"",IF(SUMPRODUCT((DATA_TM!$A$2:$A$500=$A20)*1)&gt;0,SUMIFS(DATA_TM!$F$2:$F$500,DATA_TM!$A$2:$A$500,$A20)/60,""))</f>
        <v/>
      </c>
      <c r="V20" s="5">
        <f>IF($A20&gt;DATA_CONFIG!$B$4,"",IFERROR(INDEX(DATA_CONFIG!$B$22:$B$52,MATCH($A20,DATA_CONFIG!$A$22:$A$52,0)),""))</f>
        <v/>
      </c>
    </row>
    <row r="21" ht="13" customHeight="1" s="150">
      <c r="A21" s="3">
        <f>IF(9&gt;DATA_CONFIG!$B$4,"",9)</f>
        <v/>
      </c>
      <c r="B21" s="4">
        <f>IF($A21&gt;DATA_CONFIG!$B$4,"",TEXT(DATE(DATA_CONFIG!$B$3,DATA_CONFIG!$B$2,$A21),"ddd"))</f>
        <v/>
      </c>
      <c r="C21" s="63">
        <f>IF($A21&gt;DATA_CONFIG!$B$4,"",IF(COUNTIFS(DATA_DIARIO!$A$2:$A$500,$A21,DATA_DIARIO!$B$2:$B$500,"Millalemu 1.1")&gt;0,SUMIFS(DATA_DIARIO!$C$2:$C$500,DATA_DIARIO!$A$2:$A$500,$A21,DATA_DIARIO!$B$2:$B$500,"Millalemu 1.1"),""))</f>
        <v/>
      </c>
      <c r="D21" s="64">
        <f>IF($A21&gt;DATA_CONFIG!$B$4,"",IF(COUNTIFS(DATA_DIARIO!$A$2:$A$500,$A21,DATA_DIARIO!$B$2:$B$500,"Millalemu 1.1")&gt;0,SUMIFS(DATA_DIARIO!$D$2:$D$500,DATA_DIARIO!$A$2:$A$500,$A21,DATA_DIARIO!$B$2:$B$500,"Millalemu 1.1"),""))</f>
        <v/>
      </c>
      <c r="E21" s="56">
        <f>IF($A21&gt;DATA_CONFIG!$B$4,"",IF(COUNTIFS(DATA_DIARIO!$A$2:$A$500,$A21,DATA_DIARIO!$B$2:$B$500,"Millalemu 1.2")&gt;0,SUMIFS(DATA_DIARIO!$C$2:$C$500,DATA_DIARIO!$A$2:$A$500,$A21,DATA_DIARIO!$B$2:$B$500,"Millalemu 1.2"),""))</f>
        <v/>
      </c>
      <c r="F21" s="57">
        <f>IF($A21&gt;DATA_CONFIG!$B$4,"",IF(COUNTIFS(DATA_DIARIO!$A$2:$A$500,$A21,DATA_DIARIO!$B$2:$B$500,"Millalemu 1.2")&gt;0,SUMIFS(DATA_DIARIO!$D$2:$D$500,DATA_DIARIO!$A$2:$A$500,$A21,DATA_DIARIO!$B$2:$B$500,"Millalemu 1.2"),""))</f>
        <v/>
      </c>
      <c r="G21" s="63">
        <f>IF($A21&gt;DATA_CONFIG!$B$4,"",IF(COUNTIFS(DATA_DIARIO!$A$2:$A$500,$A21,DATA_DIARIO!$B$2:$B$500,"Millalemu 1.3")&gt;0,SUMIFS(DATA_DIARIO!$C$2:$C$500,DATA_DIARIO!$A$2:$A$500,$A21,DATA_DIARIO!$B$2:$B$500,"Millalemu 1.3"),""))</f>
        <v/>
      </c>
      <c r="H21" s="64">
        <f>IF($A21&gt;DATA_CONFIG!$B$4,"",IF(COUNTIFS(DATA_DIARIO!$A$2:$A$500,$A21,DATA_DIARIO!$B$2:$B$500,"Millalemu 1.3")&gt;0,SUMIFS(DATA_DIARIO!$D$2:$D$500,DATA_DIARIO!$A$2:$A$500,$A21,DATA_DIARIO!$B$2:$B$500,"Millalemu 1.3"),""))</f>
        <v/>
      </c>
      <c r="I21" s="54">
        <f>IF($A21&gt;DATA_CONFIG!$B$4,"",IF(COUNTIFS(DATA_DIARIO!$A$2:$A$500,$A21,DATA_DIARIO!$B$2:$B$500,"Millalemu 1.4")&gt;0,SUMIFS(DATA_DIARIO!$C$2:$C$500,DATA_DIARIO!$A$2:$A$500,$A21,DATA_DIARIO!$B$2:$B$500,"Millalemu 1.4"),""))</f>
        <v/>
      </c>
      <c r="J21" s="55">
        <f>IF($A21&gt;DATA_CONFIG!$B$4,"",IF(COUNTIFS(DATA_DIARIO!$A$2:$A$500,$A21,DATA_DIARIO!$B$2:$B$500,"Millalemu 1.4")&gt;0,SUMIFS(DATA_DIARIO!$D$2:$D$500,DATA_DIARIO!$A$2:$A$500,$A21,DATA_DIARIO!$B$2:$B$500,"Millalemu 1.4"),""))</f>
        <v/>
      </c>
      <c r="K21" s="63">
        <f>IF($A21&gt;DATA_CONFIG!$B$4,"",IF(COUNTIFS(DATA_DIARIO!$A$2:$A$500,$A21,DATA_DIARIO!$B$2:$B$500,"Millalemu 5")&gt;0,SUMIFS(DATA_DIARIO!$C$2:$C$500,DATA_DIARIO!$A$2:$A$500,$A21,DATA_DIARIO!$B$2:$B$500,"Millalemu 5"),""))</f>
        <v/>
      </c>
      <c r="L21" s="64">
        <f>IF($A21&gt;DATA_CONFIG!$B$4,"",IF(COUNTIFS(DATA_DIARIO!$A$2:$A$500,$A21,DATA_DIARIO!$B$2:$B$500,"Millalemu 5")&gt;0,SUMIFS(DATA_DIARIO!$D$2:$D$500,DATA_DIARIO!$A$2:$A$500,$A21,DATA_DIARIO!$B$2:$B$500,"Millalemu 5"),""))</f>
        <v/>
      </c>
      <c r="M21" s="54">
        <f>IF($A21&gt;DATA_CONFIG!$B$4,"",IF(COUNTIFS(DATA_DIARIO!$A$2:$A$500,$A21,DATA_DIARIO!$B$2:$B$500,"Millalemu 7")&gt;0,SUMIFS(DATA_DIARIO!$C$2:$C$500,DATA_DIARIO!$A$2:$A$500,$A21,DATA_DIARIO!$B$2:$B$500,"Millalemu 7"),""))</f>
        <v/>
      </c>
      <c r="N21" s="55">
        <f>IF($A21&gt;DATA_CONFIG!$B$4,"",IF(COUNTIFS(DATA_DIARIO!$A$2:$A$500,$A21,DATA_DIARIO!$B$2:$B$500,"Millalemu 7")&gt;0,SUMIFS(DATA_DIARIO!$D$2:$D$500,DATA_DIARIO!$A$2:$A$500,$A21,DATA_DIARIO!$B$2:$B$500,"Millalemu 7"),""))</f>
        <v/>
      </c>
      <c r="O21" s="63">
        <f>IF($A21&gt;DATA_CONFIG!$B$4,"",IF(COUNTIFS(DATA_DIARIO!$A$2:$A$500,$A21,DATA_DIARIO!$B$2:$B$500,"Millalemu 9")&gt;0,SUMIFS(DATA_DIARIO!$C$2:$C$500,DATA_DIARIO!$A$2:$A$500,$A21,DATA_DIARIO!$B$2:$B$500,"Millalemu 9"),""))</f>
        <v/>
      </c>
      <c r="P21" s="64">
        <f>IF($A21&gt;DATA_CONFIG!$B$4,"",IF(COUNTIFS(DATA_DIARIO!$A$2:$A$500,$A21,DATA_DIARIO!$B$2:$B$500,"Millalemu 9")&gt;0,SUMIFS(DATA_DIARIO!$D$2:$D$500,DATA_DIARIO!$A$2:$A$500,$A21,DATA_DIARIO!$B$2:$B$500,"Millalemu 9"),""))</f>
        <v/>
      </c>
      <c r="Q21" s="54">
        <f>IF($A21&gt;DATA_CONFIG!$B$4,"",IF(COUNTIFS(DATA_DIARIO!$A$2:$A$500,$A21,DATA_DIARIO!$B$2:$B$500,"Millalemu 11")&gt;0,SUMIFS(DATA_DIARIO!$C$2:$C$500,DATA_DIARIO!$A$2:$A$500,$A21,DATA_DIARIO!$B$2:$B$500,"Millalemu 11"),""))</f>
        <v/>
      </c>
      <c r="R21" s="55">
        <f>IF($A21&gt;DATA_CONFIG!$B$4,"",IF(COUNTIFS(DATA_DIARIO!$A$2:$A$500,$A21,DATA_DIARIO!$B$2:$B$500,"Millalemu 11")&gt;0,SUMIFS(DATA_DIARIO!$D$2:$D$500,DATA_DIARIO!$A$2:$A$500,$A21,DATA_DIARIO!$B$2:$B$500,"Millalemu 11"),""))</f>
        <v/>
      </c>
      <c r="S21" s="65">
        <f>IF($A21&gt;DATA_CONFIG!$B$4,"",IF(SUMPRODUCT((DATA_DIARIO!$A$2:$A$500=$A21)*1)&gt;0,SUMIFS(DATA_DIARIO!$C$2:$C$500,DATA_DIARIO!$A$2:$A$500,$A21),""))</f>
        <v/>
      </c>
      <c r="T21" s="66">
        <f>IF(S21="","",IFERROR(S21/S5*100,0))</f>
        <v/>
      </c>
      <c r="U21" s="67">
        <f>IF($A21&gt;DATA_CONFIG!$B$4,"",IF(SUMPRODUCT((DATA_TM!$A$2:$A$500=$A21)*1)&gt;0,SUMIFS(DATA_TM!$F$2:$F$500,DATA_TM!$A$2:$A$500,$A21)/60,""))</f>
        <v/>
      </c>
      <c r="V21" s="5">
        <f>IF($A21&gt;DATA_CONFIG!$B$4,"",IFERROR(INDEX(DATA_CONFIG!$B$22:$B$52,MATCH($A21,DATA_CONFIG!$A$22:$A$52,0)),""))</f>
        <v/>
      </c>
    </row>
    <row r="22" ht="13" customHeight="1" s="150">
      <c r="A22" s="3">
        <f>IF(10&gt;DATA_CONFIG!$B$4,"",10)</f>
        <v/>
      </c>
      <c r="B22" s="4">
        <f>IF($A22&gt;DATA_CONFIG!$B$4,"",TEXT(DATE(DATA_CONFIG!$B$3,DATA_CONFIG!$B$2,$A22),"ddd"))</f>
        <v/>
      </c>
      <c r="C22" s="63">
        <f>IF($A22&gt;DATA_CONFIG!$B$4,"",IF(COUNTIFS(DATA_DIARIO!$A$2:$A$500,$A22,DATA_DIARIO!$B$2:$B$500,"Millalemu 1.1")&gt;0,SUMIFS(DATA_DIARIO!$C$2:$C$500,DATA_DIARIO!$A$2:$A$500,$A22,DATA_DIARIO!$B$2:$B$500,"Millalemu 1.1"),""))</f>
        <v/>
      </c>
      <c r="D22" s="64">
        <f>IF($A22&gt;DATA_CONFIG!$B$4,"",IF(COUNTIFS(DATA_DIARIO!$A$2:$A$500,$A22,DATA_DIARIO!$B$2:$B$500,"Millalemu 1.1")&gt;0,SUMIFS(DATA_DIARIO!$D$2:$D$500,DATA_DIARIO!$A$2:$A$500,$A22,DATA_DIARIO!$B$2:$B$500,"Millalemu 1.1"),""))</f>
        <v/>
      </c>
      <c r="E22" s="56">
        <f>IF($A22&gt;DATA_CONFIG!$B$4,"",IF(COUNTIFS(DATA_DIARIO!$A$2:$A$500,$A22,DATA_DIARIO!$B$2:$B$500,"Millalemu 1.2")&gt;0,SUMIFS(DATA_DIARIO!$C$2:$C$500,DATA_DIARIO!$A$2:$A$500,$A22,DATA_DIARIO!$B$2:$B$500,"Millalemu 1.2"),""))</f>
        <v/>
      </c>
      <c r="F22" s="57">
        <f>IF($A22&gt;DATA_CONFIG!$B$4,"",IF(COUNTIFS(DATA_DIARIO!$A$2:$A$500,$A22,DATA_DIARIO!$B$2:$B$500,"Millalemu 1.2")&gt;0,SUMIFS(DATA_DIARIO!$D$2:$D$500,DATA_DIARIO!$A$2:$A$500,$A22,DATA_DIARIO!$B$2:$B$500,"Millalemu 1.2"),""))</f>
        <v/>
      </c>
      <c r="G22" s="63">
        <f>IF($A22&gt;DATA_CONFIG!$B$4,"",IF(COUNTIFS(DATA_DIARIO!$A$2:$A$500,$A22,DATA_DIARIO!$B$2:$B$500,"Millalemu 1.3")&gt;0,SUMIFS(DATA_DIARIO!$C$2:$C$500,DATA_DIARIO!$A$2:$A$500,$A22,DATA_DIARIO!$B$2:$B$500,"Millalemu 1.3"),""))</f>
        <v/>
      </c>
      <c r="H22" s="64">
        <f>IF($A22&gt;DATA_CONFIG!$B$4,"",IF(COUNTIFS(DATA_DIARIO!$A$2:$A$500,$A22,DATA_DIARIO!$B$2:$B$500,"Millalemu 1.3")&gt;0,SUMIFS(DATA_DIARIO!$D$2:$D$500,DATA_DIARIO!$A$2:$A$500,$A22,DATA_DIARIO!$B$2:$B$500,"Millalemu 1.3"),""))</f>
        <v/>
      </c>
      <c r="I22" s="54">
        <f>IF($A22&gt;DATA_CONFIG!$B$4,"",IF(COUNTIFS(DATA_DIARIO!$A$2:$A$500,$A22,DATA_DIARIO!$B$2:$B$500,"Millalemu 1.4")&gt;0,SUMIFS(DATA_DIARIO!$C$2:$C$500,DATA_DIARIO!$A$2:$A$500,$A22,DATA_DIARIO!$B$2:$B$500,"Millalemu 1.4"),""))</f>
        <v/>
      </c>
      <c r="J22" s="55">
        <f>IF($A22&gt;DATA_CONFIG!$B$4,"",IF(COUNTIFS(DATA_DIARIO!$A$2:$A$500,$A22,DATA_DIARIO!$B$2:$B$500,"Millalemu 1.4")&gt;0,SUMIFS(DATA_DIARIO!$D$2:$D$500,DATA_DIARIO!$A$2:$A$500,$A22,DATA_DIARIO!$B$2:$B$500,"Millalemu 1.4"),""))</f>
        <v/>
      </c>
      <c r="K22" s="63">
        <f>IF($A22&gt;DATA_CONFIG!$B$4,"",IF(COUNTIFS(DATA_DIARIO!$A$2:$A$500,$A22,DATA_DIARIO!$B$2:$B$500,"Millalemu 5")&gt;0,SUMIFS(DATA_DIARIO!$C$2:$C$500,DATA_DIARIO!$A$2:$A$500,$A22,DATA_DIARIO!$B$2:$B$500,"Millalemu 5"),""))</f>
        <v/>
      </c>
      <c r="L22" s="64">
        <f>IF($A22&gt;DATA_CONFIG!$B$4,"",IF(COUNTIFS(DATA_DIARIO!$A$2:$A$500,$A22,DATA_DIARIO!$B$2:$B$500,"Millalemu 5")&gt;0,SUMIFS(DATA_DIARIO!$D$2:$D$500,DATA_DIARIO!$A$2:$A$500,$A22,DATA_DIARIO!$B$2:$B$500,"Millalemu 5"),""))</f>
        <v/>
      </c>
      <c r="M22" s="54">
        <f>IF($A22&gt;DATA_CONFIG!$B$4,"",IF(COUNTIFS(DATA_DIARIO!$A$2:$A$500,$A22,DATA_DIARIO!$B$2:$B$500,"Millalemu 7")&gt;0,SUMIFS(DATA_DIARIO!$C$2:$C$500,DATA_DIARIO!$A$2:$A$500,$A22,DATA_DIARIO!$B$2:$B$500,"Millalemu 7"),""))</f>
        <v/>
      </c>
      <c r="N22" s="55">
        <f>IF($A22&gt;DATA_CONFIG!$B$4,"",IF(COUNTIFS(DATA_DIARIO!$A$2:$A$500,$A22,DATA_DIARIO!$B$2:$B$500,"Millalemu 7")&gt;0,SUMIFS(DATA_DIARIO!$D$2:$D$500,DATA_DIARIO!$A$2:$A$500,$A22,DATA_DIARIO!$B$2:$B$500,"Millalemu 7"),""))</f>
        <v/>
      </c>
      <c r="O22" s="63">
        <f>IF($A22&gt;DATA_CONFIG!$B$4,"",IF(COUNTIFS(DATA_DIARIO!$A$2:$A$500,$A22,DATA_DIARIO!$B$2:$B$500,"Millalemu 9")&gt;0,SUMIFS(DATA_DIARIO!$C$2:$C$500,DATA_DIARIO!$A$2:$A$500,$A22,DATA_DIARIO!$B$2:$B$500,"Millalemu 9"),""))</f>
        <v/>
      </c>
      <c r="P22" s="64">
        <f>IF($A22&gt;DATA_CONFIG!$B$4,"",IF(COUNTIFS(DATA_DIARIO!$A$2:$A$500,$A22,DATA_DIARIO!$B$2:$B$500,"Millalemu 9")&gt;0,SUMIFS(DATA_DIARIO!$D$2:$D$500,DATA_DIARIO!$A$2:$A$500,$A22,DATA_DIARIO!$B$2:$B$500,"Millalemu 9"),""))</f>
        <v/>
      </c>
      <c r="Q22" s="54">
        <f>IF($A22&gt;DATA_CONFIG!$B$4,"",IF(COUNTIFS(DATA_DIARIO!$A$2:$A$500,$A22,DATA_DIARIO!$B$2:$B$500,"Millalemu 11")&gt;0,SUMIFS(DATA_DIARIO!$C$2:$C$500,DATA_DIARIO!$A$2:$A$500,$A22,DATA_DIARIO!$B$2:$B$500,"Millalemu 11"),""))</f>
        <v/>
      </c>
      <c r="R22" s="55">
        <f>IF($A22&gt;DATA_CONFIG!$B$4,"",IF(COUNTIFS(DATA_DIARIO!$A$2:$A$500,$A22,DATA_DIARIO!$B$2:$B$500,"Millalemu 11")&gt;0,SUMIFS(DATA_DIARIO!$D$2:$D$500,DATA_DIARIO!$A$2:$A$500,$A22,DATA_DIARIO!$B$2:$B$500,"Millalemu 11"),""))</f>
        <v/>
      </c>
      <c r="S22" s="65">
        <f>IF($A22&gt;DATA_CONFIG!$B$4,"",IF(SUMPRODUCT((DATA_DIARIO!$A$2:$A$500=$A22)*1)&gt;0,SUMIFS(DATA_DIARIO!$C$2:$C$500,DATA_DIARIO!$A$2:$A$500,$A22),""))</f>
        <v/>
      </c>
      <c r="T22" s="66">
        <f>IF(S22="","",IFERROR(S22/S5*100,0))</f>
        <v/>
      </c>
      <c r="U22" s="67">
        <f>IF($A22&gt;DATA_CONFIG!$B$4,"",IF(SUMPRODUCT((DATA_TM!$A$2:$A$500=$A22)*1)&gt;0,SUMIFS(DATA_TM!$F$2:$F$500,DATA_TM!$A$2:$A$500,$A22)/60,""))</f>
        <v/>
      </c>
      <c r="V22" s="5">
        <f>IF($A22&gt;DATA_CONFIG!$B$4,"",IFERROR(INDEX(DATA_CONFIG!$B$22:$B$52,MATCH($A22,DATA_CONFIG!$A$22:$A$52,0)),""))</f>
        <v/>
      </c>
    </row>
    <row r="23" ht="13" customHeight="1" s="150">
      <c r="A23" s="3">
        <f>IF(11&gt;DATA_CONFIG!$B$4,"",11)</f>
        <v/>
      </c>
      <c r="B23" s="4">
        <f>IF($A23&gt;DATA_CONFIG!$B$4,"",TEXT(DATE(DATA_CONFIG!$B$3,DATA_CONFIG!$B$2,$A23),"ddd"))</f>
        <v/>
      </c>
      <c r="C23" s="63">
        <f>IF($A23&gt;DATA_CONFIG!$B$4,"",IF(COUNTIFS(DATA_DIARIO!$A$2:$A$500,$A23,DATA_DIARIO!$B$2:$B$500,"Millalemu 1.1")&gt;0,SUMIFS(DATA_DIARIO!$C$2:$C$500,DATA_DIARIO!$A$2:$A$500,$A23,DATA_DIARIO!$B$2:$B$500,"Millalemu 1.1"),""))</f>
        <v/>
      </c>
      <c r="D23" s="64">
        <f>IF($A23&gt;DATA_CONFIG!$B$4,"",IF(COUNTIFS(DATA_DIARIO!$A$2:$A$500,$A23,DATA_DIARIO!$B$2:$B$500,"Millalemu 1.1")&gt;0,SUMIFS(DATA_DIARIO!$D$2:$D$500,DATA_DIARIO!$A$2:$A$500,$A23,DATA_DIARIO!$B$2:$B$500,"Millalemu 1.1"),""))</f>
        <v/>
      </c>
      <c r="E23" s="56">
        <f>IF($A23&gt;DATA_CONFIG!$B$4,"",IF(COUNTIFS(DATA_DIARIO!$A$2:$A$500,$A23,DATA_DIARIO!$B$2:$B$500,"Millalemu 1.2")&gt;0,SUMIFS(DATA_DIARIO!$C$2:$C$500,DATA_DIARIO!$A$2:$A$500,$A23,DATA_DIARIO!$B$2:$B$500,"Millalemu 1.2"),""))</f>
        <v/>
      </c>
      <c r="F23" s="57">
        <f>IF($A23&gt;DATA_CONFIG!$B$4,"",IF(COUNTIFS(DATA_DIARIO!$A$2:$A$500,$A23,DATA_DIARIO!$B$2:$B$500,"Millalemu 1.2")&gt;0,SUMIFS(DATA_DIARIO!$D$2:$D$500,DATA_DIARIO!$A$2:$A$500,$A23,DATA_DIARIO!$B$2:$B$500,"Millalemu 1.2"),""))</f>
        <v/>
      </c>
      <c r="G23" s="63">
        <f>IF($A23&gt;DATA_CONFIG!$B$4,"",IF(COUNTIFS(DATA_DIARIO!$A$2:$A$500,$A23,DATA_DIARIO!$B$2:$B$500,"Millalemu 1.3")&gt;0,SUMIFS(DATA_DIARIO!$C$2:$C$500,DATA_DIARIO!$A$2:$A$500,$A23,DATA_DIARIO!$B$2:$B$500,"Millalemu 1.3"),""))</f>
        <v/>
      </c>
      <c r="H23" s="64">
        <f>IF($A23&gt;DATA_CONFIG!$B$4,"",IF(COUNTIFS(DATA_DIARIO!$A$2:$A$500,$A23,DATA_DIARIO!$B$2:$B$500,"Millalemu 1.3")&gt;0,SUMIFS(DATA_DIARIO!$D$2:$D$500,DATA_DIARIO!$A$2:$A$500,$A23,DATA_DIARIO!$B$2:$B$500,"Millalemu 1.3"),""))</f>
        <v/>
      </c>
      <c r="I23" s="54">
        <f>IF($A23&gt;DATA_CONFIG!$B$4,"",IF(COUNTIFS(DATA_DIARIO!$A$2:$A$500,$A23,DATA_DIARIO!$B$2:$B$500,"Millalemu 1.4")&gt;0,SUMIFS(DATA_DIARIO!$C$2:$C$500,DATA_DIARIO!$A$2:$A$500,$A23,DATA_DIARIO!$B$2:$B$500,"Millalemu 1.4"),""))</f>
        <v/>
      </c>
      <c r="J23" s="55">
        <f>IF($A23&gt;DATA_CONFIG!$B$4,"",IF(COUNTIFS(DATA_DIARIO!$A$2:$A$500,$A23,DATA_DIARIO!$B$2:$B$500,"Millalemu 1.4")&gt;0,SUMIFS(DATA_DIARIO!$D$2:$D$500,DATA_DIARIO!$A$2:$A$500,$A23,DATA_DIARIO!$B$2:$B$500,"Millalemu 1.4"),""))</f>
        <v/>
      </c>
      <c r="K23" s="63">
        <f>IF($A23&gt;DATA_CONFIG!$B$4,"",IF(COUNTIFS(DATA_DIARIO!$A$2:$A$500,$A23,DATA_DIARIO!$B$2:$B$500,"Millalemu 5")&gt;0,SUMIFS(DATA_DIARIO!$C$2:$C$500,DATA_DIARIO!$A$2:$A$500,$A23,DATA_DIARIO!$B$2:$B$500,"Millalemu 5"),""))</f>
        <v/>
      </c>
      <c r="L23" s="64">
        <f>IF($A23&gt;DATA_CONFIG!$B$4,"",IF(COUNTIFS(DATA_DIARIO!$A$2:$A$500,$A23,DATA_DIARIO!$B$2:$B$500,"Millalemu 5")&gt;0,SUMIFS(DATA_DIARIO!$D$2:$D$500,DATA_DIARIO!$A$2:$A$500,$A23,DATA_DIARIO!$B$2:$B$500,"Millalemu 5"),""))</f>
        <v/>
      </c>
      <c r="M23" s="54">
        <f>IF($A23&gt;DATA_CONFIG!$B$4,"",IF(COUNTIFS(DATA_DIARIO!$A$2:$A$500,$A23,DATA_DIARIO!$B$2:$B$500,"Millalemu 7")&gt;0,SUMIFS(DATA_DIARIO!$C$2:$C$500,DATA_DIARIO!$A$2:$A$500,$A23,DATA_DIARIO!$B$2:$B$500,"Millalemu 7"),""))</f>
        <v/>
      </c>
      <c r="N23" s="55">
        <f>IF($A23&gt;DATA_CONFIG!$B$4,"",IF(COUNTIFS(DATA_DIARIO!$A$2:$A$500,$A23,DATA_DIARIO!$B$2:$B$500,"Millalemu 7")&gt;0,SUMIFS(DATA_DIARIO!$D$2:$D$500,DATA_DIARIO!$A$2:$A$500,$A23,DATA_DIARIO!$B$2:$B$500,"Millalemu 7"),""))</f>
        <v/>
      </c>
      <c r="O23" s="63">
        <f>IF($A23&gt;DATA_CONFIG!$B$4,"",IF(COUNTIFS(DATA_DIARIO!$A$2:$A$500,$A23,DATA_DIARIO!$B$2:$B$500,"Millalemu 9")&gt;0,SUMIFS(DATA_DIARIO!$C$2:$C$500,DATA_DIARIO!$A$2:$A$500,$A23,DATA_DIARIO!$B$2:$B$500,"Millalemu 9"),""))</f>
        <v/>
      </c>
      <c r="P23" s="64">
        <f>IF($A23&gt;DATA_CONFIG!$B$4,"",IF(COUNTIFS(DATA_DIARIO!$A$2:$A$500,$A23,DATA_DIARIO!$B$2:$B$500,"Millalemu 9")&gt;0,SUMIFS(DATA_DIARIO!$D$2:$D$500,DATA_DIARIO!$A$2:$A$500,$A23,DATA_DIARIO!$B$2:$B$500,"Millalemu 9"),""))</f>
        <v/>
      </c>
      <c r="Q23" s="54">
        <f>IF($A23&gt;DATA_CONFIG!$B$4,"",IF(COUNTIFS(DATA_DIARIO!$A$2:$A$500,$A23,DATA_DIARIO!$B$2:$B$500,"Millalemu 11")&gt;0,SUMIFS(DATA_DIARIO!$C$2:$C$500,DATA_DIARIO!$A$2:$A$500,$A23,DATA_DIARIO!$B$2:$B$500,"Millalemu 11"),""))</f>
        <v/>
      </c>
      <c r="R23" s="55">
        <f>IF($A23&gt;DATA_CONFIG!$B$4,"",IF(COUNTIFS(DATA_DIARIO!$A$2:$A$500,$A23,DATA_DIARIO!$B$2:$B$500,"Millalemu 11")&gt;0,SUMIFS(DATA_DIARIO!$D$2:$D$500,DATA_DIARIO!$A$2:$A$500,$A23,DATA_DIARIO!$B$2:$B$500,"Millalemu 11"),""))</f>
        <v/>
      </c>
      <c r="S23" s="65">
        <f>IF($A23&gt;DATA_CONFIG!$B$4,"",IF(SUMPRODUCT((DATA_DIARIO!$A$2:$A$500=$A23)*1)&gt;0,SUMIFS(DATA_DIARIO!$C$2:$C$500,DATA_DIARIO!$A$2:$A$500,$A23),""))</f>
        <v/>
      </c>
      <c r="T23" s="66">
        <f>IF(S23="","",IFERROR(S23/S5*100,0))</f>
        <v/>
      </c>
      <c r="U23" s="67">
        <f>IF($A23&gt;DATA_CONFIG!$B$4,"",IF(SUMPRODUCT((DATA_TM!$A$2:$A$500=$A23)*1)&gt;0,SUMIFS(DATA_TM!$F$2:$F$500,DATA_TM!$A$2:$A$500,$A23)/60,""))</f>
        <v/>
      </c>
      <c r="V23" s="5">
        <f>IF($A23&gt;DATA_CONFIG!$B$4,"",IFERROR(INDEX(DATA_CONFIG!$B$22:$B$52,MATCH($A23,DATA_CONFIG!$A$22:$A$52,0)),""))</f>
        <v/>
      </c>
    </row>
    <row r="24" ht="13" customHeight="1" s="150">
      <c r="A24" s="3">
        <f>IF(12&gt;DATA_CONFIG!$B$4,"",12)</f>
        <v/>
      </c>
      <c r="B24" s="4">
        <f>IF($A24&gt;DATA_CONFIG!$B$4,"",TEXT(DATE(DATA_CONFIG!$B$3,DATA_CONFIG!$B$2,$A24),"ddd"))</f>
        <v/>
      </c>
      <c r="C24" s="63">
        <f>IF($A24&gt;DATA_CONFIG!$B$4,"",IF(COUNTIFS(DATA_DIARIO!$A$2:$A$500,$A24,DATA_DIARIO!$B$2:$B$500,"Millalemu 1.1")&gt;0,SUMIFS(DATA_DIARIO!$C$2:$C$500,DATA_DIARIO!$A$2:$A$500,$A24,DATA_DIARIO!$B$2:$B$500,"Millalemu 1.1"),""))</f>
        <v/>
      </c>
      <c r="D24" s="64">
        <f>IF($A24&gt;DATA_CONFIG!$B$4,"",IF(COUNTIFS(DATA_DIARIO!$A$2:$A$500,$A24,DATA_DIARIO!$B$2:$B$500,"Millalemu 1.1")&gt;0,SUMIFS(DATA_DIARIO!$D$2:$D$500,DATA_DIARIO!$A$2:$A$500,$A24,DATA_DIARIO!$B$2:$B$500,"Millalemu 1.1"),""))</f>
        <v/>
      </c>
      <c r="E24" s="56">
        <f>IF($A24&gt;DATA_CONFIG!$B$4,"",IF(COUNTIFS(DATA_DIARIO!$A$2:$A$500,$A24,DATA_DIARIO!$B$2:$B$500,"Millalemu 1.2")&gt;0,SUMIFS(DATA_DIARIO!$C$2:$C$500,DATA_DIARIO!$A$2:$A$500,$A24,DATA_DIARIO!$B$2:$B$500,"Millalemu 1.2"),""))</f>
        <v/>
      </c>
      <c r="F24" s="57">
        <f>IF($A24&gt;DATA_CONFIG!$B$4,"",IF(COUNTIFS(DATA_DIARIO!$A$2:$A$500,$A24,DATA_DIARIO!$B$2:$B$500,"Millalemu 1.2")&gt;0,SUMIFS(DATA_DIARIO!$D$2:$D$500,DATA_DIARIO!$A$2:$A$500,$A24,DATA_DIARIO!$B$2:$B$500,"Millalemu 1.2"),""))</f>
        <v/>
      </c>
      <c r="G24" s="63">
        <f>IF($A24&gt;DATA_CONFIG!$B$4,"",IF(COUNTIFS(DATA_DIARIO!$A$2:$A$500,$A24,DATA_DIARIO!$B$2:$B$500,"Millalemu 1.3")&gt;0,SUMIFS(DATA_DIARIO!$C$2:$C$500,DATA_DIARIO!$A$2:$A$500,$A24,DATA_DIARIO!$B$2:$B$500,"Millalemu 1.3"),""))</f>
        <v/>
      </c>
      <c r="H24" s="64">
        <f>IF($A24&gt;DATA_CONFIG!$B$4,"",IF(COUNTIFS(DATA_DIARIO!$A$2:$A$500,$A24,DATA_DIARIO!$B$2:$B$500,"Millalemu 1.3")&gt;0,SUMIFS(DATA_DIARIO!$D$2:$D$500,DATA_DIARIO!$A$2:$A$500,$A24,DATA_DIARIO!$B$2:$B$500,"Millalemu 1.3"),""))</f>
        <v/>
      </c>
      <c r="I24" s="54">
        <f>IF($A24&gt;DATA_CONFIG!$B$4,"",IF(COUNTIFS(DATA_DIARIO!$A$2:$A$500,$A24,DATA_DIARIO!$B$2:$B$500,"Millalemu 1.4")&gt;0,SUMIFS(DATA_DIARIO!$C$2:$C$500,DATA_DIARIO!$A$2:$A$500,$A24,DATA_DIARIO!$B$2:$B$500,"Millalemu 1.4"),""))</f>
        <v/>
      </c>
      <c r="J24" s="55">
        <f>IF($A24&gt;DATA_CONFIG!$B$4,"",IF(COUNTIFS(DATA_DIARIO!$A$2:$A$500,$A24,DATA_DIARIO!$B$2:$B$500,"Millalemu 1.4")&gt;0,SUMIFS(DATA_DIARIO!$D$2:$D$500,DATA_DIARIO!$A$2:$A$500,$A24,DATA_DIARIO!$B$2:$B$500,"Millalemu 1.4"),""))</f>
        <v/>
      </c>
      <c r="K24" s="63">
        <f>IF($A24&gt;DATA_CONFIG!$B$4,"",IF(COUNTIFS(DATA_DIARIO!$A$2:$A$500,$A24,DATA_DIARIO!$B$2:$B$500,"Millalemu 5")&gt;0,SUMIFS(DATA_DIARIO!$C$2:$C$500,DATA_DIARIO!$A$2:$A$500,$A24,DATA_DIARIO!$B$2:$B$500,"Millalemu 5"),""))</f>
        <v/>
      </c>
      <c r="L24" s="64">
        <f>IF($A24&gt;DATA_CONFIG!$B$4,"",IF(COUNTIFS(DATA_DIARIO!$A$2:$A$500,$A24,DATA_DIARIO!$B$2:$B$500,"Millalemu 5")&gt;0,SUMIFS(DATA_DIARIO!$D$2:$D$500,DATA_DIARIO!$A$2:$A$500,$A24,DATA_DIARIO!$B$2:$B$500,"Millalemu 5"),""))</f>
        <v/>
      </c>
      <c r="M24" s="54">
        <f>IF($A24&gt;DATA_CONFIG!$B$4,"",IF(COUNTIFS(DATA_DIARIO!$A$2:$A$500,$A24,DATA_DIARIO!$B$2:$B$500,"Millalemu 7")&gt;0,SUMIFS(DATA_DIARIO!$C$2:$C$500,DATA_DIARIO!$A$2:$A$500,$A24,DATA_DIARIO!$B$2:$B$500,"Millalemu 7"),""))</f>
        <v/>
      </c>
      <c r="N24" s="55">
        <f>IF($A24&gt;DATA_CONFIG!$B$4,"",IF(COUNTIFS(DATA_DIARIO!$A$2:$A$500,$A24,DATA_DIARIO!$B$2:$B$500,"Millalemu 7")&gt;0,SUMIFS(DATA_DIARIO!$D$2:$D$500,DATA_DIARIO!$A$2:$A$500,$A24,DATA_DIARIO!$B$2:$B$500,"Millalemu 7"),""))</f>
        <v/>
      </c>
      <c r="O24" s="63">
        <f>IF($A24&gt;DATA_CONFIG!$B$4,"",IF(COUNTIFS(DATA_DIARIO!$A$2:$A$500,$A24,DATA_DIARIO!$B$2:$B$500,"Millalemu 9")&gt;0,SUMIFS(DATA_DIARIO!$C$2:$C$500,DATA_DIARIO!$A$2:$A$500,$A24,DATA_DIARIO!$B$2:$B$500,"Millalemu 9"),""))</f>
        <v/>
      </c>
      <c r="P24" s="64">
        <f>IF($A24&gt;DATA_CONFIG!$B$4,"",IF(COUNTIFS(DATA_DIARIO!$A$2:$A$500,$A24,DATA_DIARIO!$B$2:$B$500,"Millalemu 9")&gt;0,SUMIFS(DATA_DIARIO!$D$2:$D$500,DATA_DIARIO!$A$2:$A$500,$A24,DATA_DIARIO!$B$2:$B$500,"Millalemu 9"),""))</f>
        <v/>
      </c>
      <c r="Q24" s="54">
        <f>IF($A24&gt;DATA_CONFIG!$B$4,"",IF(COUNTIFS(DATA_DIARIO!$A$2:$A$500,$A24,DATA_DIARIO!$B$2:$B$500,"Millalemu 11")&gt;0,SUMIFS(DATA_DIARIO!$C$2:$C$500,DATA_DIARIO!$A$2:$A$500,$A24,DATA_DIARIO!$B$2:$B$500,"Millalemu 11"),""))</f>
        <v/>
      </c>
      <c r="R24" s="55">
        <f>IF($A24&gt;DATA_CONFIG!$B$4,"",IF(COUNTIFS(DATA_DIARIO!$A$2:$A$500,$A24,DATA_DIARIO!$B$2:$B$500,"Millalemu 11")&gt;0,SUMIFS(DATA_DIARIO!$D$2:$D$500,DATA_DIARIO!$A$2:$A$500,$A24,DATA_DIARIO!$B$2:$B$500,"Millalemu 11"),""))</f>
        <v/>
      </c>
      <c r="S24" s="65">
        <f>IF($A24&gt;DATA_CONFIG!$B$4,"",IF(SUMPRODUCT((DATA_DIARIO!$A$2:$A$500=$A24)*1)&gt;0,SUMIFS(DATA_DIARIO!$C$2:$C$500,DATA_DIARIO!$A$2:$A$500,$A24),""))</f>
        <v/>
      </c>
      <c r="T24" s="66">
        <f>IF(S24="","",IFERROR(S24/S5*100,0))</f>
        <v/>
      </c>
      <c r="U24" s="67">
        <f>IF($A24&gt;DATA_CONFIG!$B$4,"",IF(SUMPRODUCT((DATA_TM!$A$2:$A$500=$A24)*1)&gt;0,SUMIFS(DATA_TM!$F$2:$F$500,DATA_TM!$A$2:$A$500,$A24)/60,""))</f>
        <v/>
      </c>
      <c r="V24" s="5">
        <f>IF($A24&gt;DATA_CONFIG!$B$4,"",IFERROR(INDEX(DATA_CONFIG!$B$22:$B$52,MATCH($A24,DATA_CONFIG!$A$22:$A$52,0)),""))</f>
        <v/>
      </c>
    </row>
    <row r="25" ht="13" customHeight="1" s="150">
      <c r="A25" s="3">
        <f>IF(13&gt;DATA_CONFIG!$B$4,"",13)</f>
        <v/>
      </c>
      <c r="B25" s="4">
        <f>IF($A25&gt;DATA_CONFIG!$B$4,"",TEXT(DATE(DATA_CONFIG!$B$3,DATA_CONFIG!$B$2,$A25),"ddd"))</f>
        <v/>
      </c>
      <c r="C25" s="63">
        <f>IF($A25&gt;DATA_CONFIG!$B$4,"",IF(COUNTIFS(DATA_DIARIO!$A$2:$A$500,$A25,DATA_DIARIO!$B$2:$B$500,"Millalemu 1.1")&gt;0,SUMIFS(DATA_DIARIO!$C$2:$C$500,DATA_DIARIO!$A$2:$A$500,$A25,DATA_DIARIO!$B$2:$B$500,"Millalemu 1.1"),""))</f>
        <v/>
      </c>
      <c r="D25" s="64">
        <f>IF($A25&gt;DATA_CONFIG!$B$4,"",IF(COUNTIFS(DATA_DIARIO!$A$2:$A$500,$A25,DATA_DIARIO!$B$2:$B$500,"Millalemu 1.1")&gt;0,SUMIFS(DATA_DIARIO!$D$2:$D$500,DATA_DIARIO!$A$2:$A$500,$A25,DATA_DIARIO!$B$2:$B$500,"Millalemu 1.1"),""))</f>
        <v/>
      </c>
      <c r="E25" s="56">
        <f>IF($A25&gt;DATA_CONFIG!$B$4,"",IF(COUNTIFS(DATA_DIARIO!$A$2:$A$500,$A25,DATA_DIARIO!$B$2:$B$500,"Millalemu 1.2")&gt;0,SUMIFS(DATA_DIARIO!$C$2:$C$500,DATA_DIARIO!$A$2:$A$500,$A25,DATA_DIARIO!$B$2:$B$500,"Millalemu 1.2"),""))</f>
        <v/>
      </c>
      <c r="F25" s="57">
        <f>IF($A25&gt;DATA_CONFIG!$B$4,"",IF(COUNTIFS(DATA_DIARIO!$A$2:$A$500,$A25,DATA_DIARIO!$B$2:$B$500,"Millalemu 1.2")&gt;0,SUMIFS(DATA_DIARIO!$D$2:$D$500,DATA_DIARIO!$A$2:$A$500,$A25,DATA_DIARIO!$B$2:$B$500,"Millalemu 1.2"),""))</f>
        <v/>
      </c>
      <c r="G25" s="63">
        <f>IF($A25&gt;DATA_CONFIG!$B$4,"",IF(COUNTIFS(DATA_DIARIO!$A$2:$A$500,$A25,DATA_DIARIO!$B$2:$B$500,"Millalemu 1.3")&gt;0,SUMIFS(DATA_DIARIO!$C$2:$C$500,DATA_DIARIO!$A$2:$A$500,$A25,DATA_DIARIO!$B$2:$B$500,"Millalemu 1.3"),""))</f>
        <v/>
      </c>
      <c r="H25" s="64">
        <f>IF($A25&gt;DATA_CONFIG!$B$4,"",IF(COUNTIFS(DATA_DIARIO!$A$2:$A$500,$A25,DATA_DIARIO!$B$2:$B$500,"Millalemu 1.3")&gt;0,SUMIFS(DATA_DIARIO!$D$2:$D$500,DATA_DIARIO!$A$2:$A$500,$A25,DATA_DIARIO!$B$2:$B$500,"Millalemu 1.3"),""))</f>
        <v/>
      </c>
      <c r="I25" s="54">
        <f>IF($A25&gt;DATA_CONFIG!$B$4,"",IF(COUNTIFS(DATA_DIARIO!$A$2:$A$500,$A25,DATA_DIARIO!$B$2:$B$500,"Millalemu 1.4")&gt;0,SUMIFS(DATA_DIARIO!$C$2:$C$500,DATA_DIARIO!$A$2:$A$500,$A25,DATA_DIARIO!$B$2:$B$500,"Millalemu 1.4"),""))</f>
        <v/>
      </c>
      <c r="J25" s="55">
        <f>IF($A25&gt;DATA_CONFIG!$B$4,"",IF(COUNTIFS(DATA_DIARIO!$A$2:$A$500,$A25,DATA_DIARIO!$B$2:$B$500,"Millalemu 1.4")&gt;0,SUMIFS(DATA_DIARIO!$D$2:$D$500,DATA_DIARIO!$A$2:$A$500,$A25,DATA_DIARIO!$B$2:$B$500,"Millalemu 1.4"),""))</f>
        <v/>
      </c>
      <c r="K25" s="63">
        <f>IF($A25&gt;DATA_CONFIG!$B$4,"",IF(COUNTIFS(DATA_DIARIO!$A$2:$A$500,$A25,DATA_DIARIO!$B$2:$B$500,"Millalemu 5")&gt;0,SUMIFS(DATA_DIARIO!$C$2:$C$500,DATA_DIARIO!$A$2:$A$500,$A25,DATA_DIARIO!$B$2:$B$500,"Millalemu 5"),""))</f>
        <v/>
      </c>
      <c r="L25" s="64">
        <f>IF($A25&gt;DATA_CONFIG!$B$4,"",IF(COUNTIFS(DATA_DIARIO!$A$2:$A$500,$A25,DATA_DIARIO!$B$2:$B$500,"Millalemu 5")&gt;0,SUMIFS(DATA_DIARIO!$D$2:$D$500,DATA_DIARIO!$A$2:$A$500,$A25,DATA_DIARIO!$B$2:$B$500,"Millalemu 5"),""))</f>
        <v/>
      </c>
      <c r="M25" s="54">
        <f>IF($A25&gt;DATA_CONFIG!$B$4,"",IF(COUNTIFS(DATA_DIARIO!$A$2:$A$500,$A25,DATA_DIARIO!$B$2:$B$500,"Millalemu 7")&gt;0,SUMIFS(DATA_DIARIO!$C$2:$C$500,DATA_DIARIO!$A$2:$A$500,$A25,DATA_DIARIO!$B$2:$B$500,"Millalemu 7"),""))</f>
        <v/>
      </c>
      <c r="N25" s="55">
        <f>IF($A25&gt;DATA_CONFIG!$B$4,"",IF(COUNTIFS(DATA_DIARIO!$A$2:$A$500,$A25,DATA_DIARIO!$B$2:$B$500,"Millalemu 7")&gt;0,SUMIFS(DATA_DIARIO!$D$2:$D$500,DATA_DIARIO!$A$2:$A$500,$A25,DATA_DIARIO!$B$2:$B$500,"Millalemu 7"),""))</f>
        <v/>
      </c>
      <c r="O25" s="63">
        <f>IF($A25&gt;DATA_CONFIG!$B$4,"",IF(COUNTIFS(DATA_DIARIO!$A$2:$A$500,$A25,DATA_DIARIO!$B$2:$B$500,"Millalemu 9")&gt;0,SUMIFS(DATA_DIARIO!$C$2:$C$500,DATA_DIARIO!$A$2:$A$500,$A25,DATA_DIARIO!$B$2:$B$500,"Millalemu 9"),""))</f>
        <v/>
      </c>
      <c r="P25" s="64">
        <f>IF($A25&gt;DATA_CONFIG!$B$4,"",IF(COUNTIFS(DATA_DIARIO!$A$2:$A$500,$A25,DATA_DIARIO!$B$2:$B$500,"Millalemu 9")&gt;0,SUMIFS(DATA_DIARIO!$D$2:$D$500,DATA_DIARIO!$A$2:$A$500,$A25,DATA_DIARIO!$B$2:$B$500,"Millalemu 9"),""))</f>
        <v/>
      </c>
      <c r="Q25" s="54">
        <f>IF($A25&gt;DATA_CONFIG!$B$4,"",IF(COUNTIFS(DATA_DIARIO!$A$2:$A$500,$A25,DATA_DIARIO!$B$2:$B$500,"Millalemu 11")&gt;0,SUMIFS(DATA_DIARIO!$C$2:$C$500,DATA_DIARIO!$A$2:$A$500,$A25,DATA_DIARIO!$B$2:$B$500,"Millalemu 11"),""))</f>
        <v/>
      </c>
      <c r="R25" s="55">
        <f>IF($A25&gt;DATA_CONFIG!$B$4,"",IF(COUNTIFS(DATA_DIARIO!$A$2:$A$500,$A25,DATA_DIARIO!$B$2:$B$500,"Millalemu 11")&gt;0,SUMIFS(DATA_DIARIO!$D$2:$D$500,DATA_DIARIO!$A$2:$A$500,$A25,DATA_DIARIO!$B$2:$B$500,"Millalemu 11"),""))</f>
        <v/>
      </c>
      <c r="S25" s="65">
        <f>IF($A25&gt;DATA_CONFIG!$B$4,"",IF(SUMPRODUCT((DATA_DIARIO!$A$2:$A$500=$A25)*1)&gt;0,SUMIFS(DATA_DIARIO!$C$2:$C$500,DATA_DIARIO!$A$2:$A$500,$A25),""))</f>
        <v/>
      </c>
      <c r="T25" s="66">
        <f>IF(S25="","",IFERROR(S25/S5*100,0))</f>
        <v/>
      </c>
      <c r="U25" s="67">
        <f>IF($A25&gt;DATA_CONFIG!$B$4,"",IF(SUMPRODUCT((DATA_TM!$A$2:$A$500=$A25)*1)&gt;0,SUMIFS(DATA_TM!$F$2:$F$500,DATA_TM!$A$2:$A$500,$A25)/60,""))</f>
        <v/>
      </c>
      <c r="V25" s="5">
        <f>IF($A25&gt;DATA_CONFIG!$B$4,"",IFERROR(INDEX(DATA_CONFIG!$B$22:$B$52,MATCH($A25,DATA_CONFIG!$A$22:$A$52,0)),""))</f>
        <v/>
      </c>
    </row>
    <row r="26" ht="13" customHeight="1" s="150">
      <c r="A26" s="3">
        <f>IF(14&gt;DATA_CONFIG!$B$4,"",14)</f>
        <v/>
      </c>
      <c r="B26" s="4">
        <f>IF($A26&gt;DATA_CONFIG!$B$4,"",TEXT(DATE(DATA_CONFIG!$B$3,DATA_CONFIG!$B$2,$A26),"ddd"))</f>
        <v/>
      </c>
      <c r="C26" s="63">
        <f>IF($A26&gt;DATA_CONFIG!$B$4,"",IF(COUNTIFS(DATA_DIARIO!$A$2:$A$500,$A26,DATA_DIARIO!$B$2:$B$500,"Millalemu 1.1")&gt;0,SUMIFS(DATA_DIARIO!$C$2:$C$500,DATA_DIARIO!$A$2:$A$500,$A26,DATA_DIARIO!$B$2:$B$500,"Millalemu 1.1"),""))</f>
        <v/>
      </c>
      <c r="D26" s="64">
        <f>IF($A26&gt;DATA_CONFIG!$B$4,"",IF(COUNTIFS(DATA_DIARIO!$A$2:$A$500,$A26,DATA_DIARIO!$B$2:$B$500,"Millalemu 1.1")&gt;0,SUMIFS(DATA_DIARIO!$D$2:$D$500,DATA_DIARIO!$A$2:$A$500,$A26,DATA_DIARIO!$B$2:$B$500,"Millalemu 1.1"),""))</f>
        <v/>
      </c>
      <c r="E26" s="56">
        <f>IF($A26&gt;DATA_CONFIG!$B$4,"",IF(COUNTIFS(DATA_DIARIO!$A$2:$A$500,$A26,DATA_DIARIO!$B$2:$B$500,"Millalemu 1.2")&gt;0,SUMIFS(DATA_DIARIO!$C$2:$C$500,DATA_DIARIO!$A$2:$A$500,$A26,DATA_DIARIO!$B$2:$B$500,"Millalemu 1.2"),""))</f>
        <v/>
      </c>
      <c r="F26" s="57">
        <f>IF($A26&gt;DATA_CONFIG!$B$4,"",IF(COUNTIFS(DATA_DIARIO!$A$2:$A$500,$A26,DATA_DIARIO!$B$2:$B$500,"Millalemu 1.2")&gt;0,SUMIFS(DATA_DIARIO!$D$2:$D$500,DATA_DIARIO!$A$2:$A$500,$A26,DATA_DIARIO!$B$2:$B$500,"Millalemu 1.2"),""))</f>
        <v/>
      </c>
      <c r="G26" s="63">
        <f>IF($A26&gt;DATA_CONFIG!$B$4,"",IF(COUNTIFS(DATA_DIARIO!$A$2:$A$500,$A26,DATA_DIARIO!$B$2:$B$500,"Millalemu 1.3")&gt;0,SUMIFS(DATA_DIARIO!$C$2:$C$500,DATA_DIARIO!$A$2:$A$500,$A26,DATA_DIARIO!$B$2:$B$500,"Millalemu 1.3"),""))</f>
        <v/>
      </c>
      <c r="H26" s="64">
        <f>IF($A26&gt;DATA_CONFIG!$B$4,"",IF(COUNTIFS(DATA_DIARIO!$A$2:$A$500,$A26,DATA_DIARIO!$B$2:$B$500,"Millalemu 1.3")&gt;0,SUMIFS(DATA_DIARIO!$D$2:$D$500,DATA_DIARIO!$A$2:$A$500,$A26,DATA_DIARIO!$B$2:$B$500,"Millalemu 1.3"),""))</f>
        <v/>
      </c>
      <c r="I26" s="54">
        <f>IF($A26&gt;DATA_CONFIG!$B$4,"",IF(COUNTIFS(DATA_DIARIO!$A$2:$A$500,$A26,DATA_DIARIO!$B$2:$B$500,"Millalemu 1.4")&gt;0,SUMIFS(DATA_DIARIO!$C$2:$C$500,DATA_DIARIO!$A$2:$A$500,$A26,DATA_DIARIO!$B$2:$B$500,"Millalemu 1.4"),""))</f>
        <v/>
      </c>
      <c r="J26" s="55">
        <f>IF($A26&gt;DATA_CONFIG!$B$4,"",IF(COUNTIFS(DATA_DIARIO!$A$2:$A$500,$A26,DATA_DIARIO!$B$2:$B$500,"Millalemu 1.4")&gt;0,SUMIFS(DATA_DIARIO!$D$2:$D$500,DATA_DIARIO!$A$2:$A$500,$A26,DATA_DIARIO!$B$2:$B$500,"Millalemu 1.4"),""))</f>
        <v/>
      </c>
      <c r="K26" s="63">
        <f>IF($A26&gt;DATA_CONFIG!$B$4,"",IF(COUNTIFS(DATA_DIARIO!$A$2:$A$500,$A26,DATA_DIARIO!$B$2:$B$500,"Millalemu 5")&gt;0,SUMIFS(DATA_DIARIO!$C$2:$C$500,DATA_DIARIO!$A$2:$A$500,$A26,DATA_DIARIO!$B$2:$B$500,"Millalemu 5"),""))</f>
        <v/>
      </c>
      <c r="L26" s="64">
        <f>IF($A26&gt;DATA_CONFIG!$B$4,"",IF(COUNTIFS(DATA_DIARIO!$A$2:$A$500,$A26,DATA_DIARIO!$B$2:$B$500,"Millalemu 5")&gt;0,SUMIFS(DATA_DIARIO!$D$2:$D$500,DATA_DIARIO!$A$2:$A$500,$A26,DATA_DIARIO!$B$2:$B$500,"Millalemu 5"),""))</f>
        <v/>
      </c>
      <c r="M26" s="54">
        <f>IF($A26&gt;DATA_CONFIG!$B$4,"",IF(COUNTIFS(DATA_DIARIO!$A$2:$A$500,$A26,DATA_DIARIO!$B$2:$B$500,"Millalemu 7")&gt;0,SUMIFS(DATA_DIARIO!$C$2:$C$500,DATA_DIARIO!$A$2:$A$500,$A26,DATA_DIARIO!$B$2:$B$500,"Millalemu 7"),""))</f>
        <v/>
      </c>
      <c r="N26" s="55">
        <f>IF($A26&gt;DATA_CONFIG!$B$4,"",IF(COUNTIFS(DATA_DIARIO!$A$2:$A$500,$A26,DATA_DIARIO!$B$2:$B$500,"Millalemu 7")&gt;0,SUMIFS(DATA_DIARIO!$D$2:$D$500,DATA_DIARIO!$A$2:$A$500,$A26,DATA_DIARIO!$B$2:$B$500,"Millalemu 7"),""))</f>
        <v/>
      </c>
      <c r="O26" s="63">
        <f>IF($A26&gt;DATA_CONFIG!$B$4,"",IF(COUNTIFS(DATA_DIARIO!$A$2:$A$500,$A26,DATA_DIARIO!$B$2:$B$500,"Millalemu 9")&gt;0,SUMIFS(DATA_DIARIO!$C$2:$C$500,DATA_DIARIO!$A$2:$A$500,$A26,DATA_DIARIO!$B$2:$B$500,"Millalemu 9"),""))</f>
        <v/>
      </c>
      <c r="P26" s="64">
        <f>IF($A26&gt;DATA_CONFIG!$B$4,"",IF(COUNTIFS(DATA_DIARIO!$A$2:$A$500,$A26,DATA_DIARIO!$B$2:$B$500,"Millalemu 9")&gt;0,SUMIFS(DATA_DIARIO!$D$2:$D$500,DATA_DIARIO!$A$2:$A$500,$A26,DATA_DIARIO!$B$2:$B$500,"Millalemu 9"),""))</f>
        <v/>
      </c>
      <c r="Q26" s="54">
        <f>IF($A26&gt;DATA_CONFIG!$B$4,"",IF(COUNTIFS(DATA_DIARIO!$A$2:$A$500,$A26,DATA_DIARIO!$B$2:$B$500,"Millalemu 11")&gt;0,SUMIFS(DATA_DIARIO!$C$2:$C$500,DATA_DIARIO!$A$2:$A$500,$A26,DATA_DIARIO!$B$2:$B$500,"Millalemu 11"),""))</f>
        <v/>
      </c>
      <c r="R26" s="55">
        <f>IF($A26&gt;DATA_CONFIG!$B$4,"",IF(COUNTIFS(DATA_DIARIO!$A$2:$A$500,$A26,DATA_DIARIO!$B$2:$B$500,"Millalemu 11")&gt;0,SUMIFS(DATA_DIARIO!$D$2:$D$500,DATA_DIARIO!$A$2:$A$500,$A26,DATA_DIARIO!$B$2:$B$500,"Millalemu 11"),""))</f>
        <v/>
      </c>
      <c r="S26" s="65">
        <f>IF($A26&gt;DATA_CONFIG!$B$4,"",IF(SUMPRODUCT((DATA_DIARIO!$A$2:$A$500=$A26)*1)&gt;0,SUMIFS(DATA_DIARIO!$C$2:$C$500,DATA_DIARIO!$A$2:$A$500,$A26),""))</f>
        <v/>
      </c>
      <c r="T26" s="66">
        <f>IF(S26="","",IFERROR(S26/S5*100,0))</f>
        <v/>
      </c>
      <c r="U26" s="67">
        <f>IF($A26&gt;DATA_CONFIG!$B$4,"",IF(SUMPRODUCT((DATA_TM!$A$2:$A$500=$A26)*1)&gt;0,SUMIFS(DATA_TM!$F$2:$F$500,DATA_TM!$A$2:$A$500,$A26)/60,""))</f>
        <v/>
      </c>
      <c r="V26" s="5">
        <f>IF($A26&gt;DATA_CONFIG!$B$4,"",IFERROR(INDEX(DATA_CONFIG!$B$22:$B$52,MATCH($A26,DATA_CONFIG!$A$22:$A$52,0)),""))</f>
        <v/>
      </c>
    </row>
    <row r="27" ht="13" customHeight="1" s="150">
      <c r="A27" s="3">
        <f>IF(15&gt;DATA_CONFIG!$B$4,"",15)</f>
        <v/>
      </c>
      <c r="B27" s="4">
        <f>IF($A27&gt;DATA_CONFIG!$B$4,"",TEXT(DATE(DATA_CONFIG!$B$3,DATA_CONFIG!$B$2,$A27),"ddd"))</f>
        <v/>
      </c>
      <c r="C27" s="63">
        <f>IF($A27&gt;DATA_CONFIG!$B$4,"",IF(COUNTIFS(DATA_DIARIO!$A$2:$A$500,$A27,DATA_DIARIO!$B$2:$B$500,"Millalemu 1.1")&gt;0,SUMIFS(DATA_DIARIO!$C$2:$C$500,DATA_DIARIO!$A$2:$A$500,$A27,DATA_DIARIO!$B$2:$B$500,"Millalemu 1.1"),""))</f>
        <v/>
      </c>
      <c r="D27" s="64">
        <f>IF($A27&gt;DATA_CONFIG!$B$4,"",IF(COUNTIFS(DATA_DIARIO!$A$2:$A$500,$A27,DATA_DIARIO!$B$2:$B$500,"Millalemu 1.1")&gt;0,SUMIFS(DATA_DIARIO!$D$2:$D$500,DATA_DIARIO!$A$2:$A$500,$A27,DATA_DIARIO!$B$2:$B$500,"Millalemu 1.1"),""))</f>
        <v/>
      </c>
      <c r="E27" s="56">
        <f>IF($A27&gt;DATA_CONFIG!$B$4,"",IF(COUNTIFS(DATA_DIARIO!$A$2:$A$500,$A27,DATA_DIARIO!$B$2:$B$500,"Millalemu 1.2")&gt;0,SUMIFS(DATA_DIARIO!$C$2:$C$500,DATA_DIARIO!$A$2:$A$500,$A27,DATA_DIARIO!$B$2:$B$500,"Millalemu 1.2"),""))</f>
        <v/>
      </c>
      <c r="F27" s="57">
        <f>IF($A27&gt;DATA_CONFIG!$B$4,"",IF(COUNTIFS(DATA_DIARIO!$A$2:$A$500,$A27,DATA_DIARIO!$B$2:$B$500,"Millalemu 1.2")&gt;0,SUMIFS(DATA_DIARIO!$D$2:$D$500,DATA_DIARIO!$A$2:$A$500,$A27,DATA_DIARIO!$B$2:$B$500,"Millalemu 1.2"),""))</f>
        <v/>
      </c>
      <c r="G27" s="63">
        <f>IF($A27&gt;DATA_CONFIG!$B$4,"",IF(COUNTIFS(DATA_DIARIO!$A$2:$A$500,$A27,DATA_DIARIO!$B$2:$B$500,"Millalemu 1.3")&gt;0,SUMIFS(DATA_DIARIO!$C$2:$C$500,DATA_DIARIO!$A$2:$A$500,$A27,DATA_DIARIO!$B$2:$B$500,"Millalemu 1.3"),""))</f>
        <v/>
      </c>
      <c r="H27" s="64">
        <f>IF($A27&gt;DATA_CONFIG!$B$4,"",IF(COUNTIFS(DATA_DIARIO!$A$2:$A$500,$A27,DATA_DIARIO!$B$2:$B$500,"Millalemu 1.3")&gt;0,SUMIFS(DATA_DIARIO!$D$2:$D$500,DATA_DIARIO!$A$2:$A$500,$A27,DATA_DIARIO!$B$2:$B$500,"Millalemu 1.3"),""))</f>
        <v/>
      </c>
      <c r="I27" s="54">
        <f>IF($A27&gt;DATA_CONFIG!$B$4,"",IF(COUNTIFS(DATA_DIARIO!$A$2:$A$500,$A27,DATA_DIARIO!$B$2:$B$500,"Millalemu 1.4")&gt;0,SUMIFS(DATA_DIARIO!$C$2:$C$500,DATA_DIARIO!$A$2:$A$500,$A27,DATA_DIARIO!$B$2:$B$500,"Millalemu 1.4"),""))</f>
        <v/>
      </c>
      <c r="J27" s="55">
        <f>IF($A27&gt;DATA_CONFIG!$B$4,"",IF(COUNTIFS(DATA_DIARIO!$A$2:$A$500,$A27,DATA_DIARIO!$B$2:$B$500,"Millalemu 1.4")&gt;0,SUMIFS(DATA_DIARIO!$D$2:$D$500,DATA_DIARIO!$A$2:$A$500,$A27,DATA_DIARIO!$B$2:$B$500,"Millalemu 1.4"),""))</f>
        <v/>
      </c>
      <c r="K27" s="63">
        <f>IF($A27&gt;DATA_CONFIG!$B$4,"",IF(COUNTIFS(DATA_DIARIO!$A$2:$A$500,$A27,DATA_DIARIO!$B$2:$B$500,"Millalemu 5")&gt;0,SUMIFS(DATA_DIARIO!$C$2:$C$500,DATA_DIARIO!$A$2:$A$500,$A27,DATA_DIARIO!$B$2:$B$500,"Millalemu 5"),""))</f>
        <v/>
      </c>
      <c r="L27" s="64">
        <f>IF($A27&gt;DATA_CONFIG!$B$4,"",IF(COUNTIFS(DATA_DIARIO!$A$2:$A$500,$A27,DATA_DIARIO!$B$2:$B$500,"Millalemu 5")&gt;0,SUMIFS(DATA_DIARIO!$D$2:$D$500,DATA_DIARIO!$A$2:$A$500,$A27,DATA_DIARIO!$B$2:$B$500,"Millalemu 5"),""))</f>
        <v/>
      </c>
      <c r="M27" s="54">
        <f>IF($A27&gt;DATA_CONFIG!$B$4,"",IF(COUNTIFS(DATA_DIARIO!$A$2:$A$500,$A27,DATA_DIARIO!$B$2:$B$500,"Millalemu 7")&gt;0,SUMIFS(DATA_DIARIO!$C$2:$C$500,DATA_DIARIO!$A$2:$A$500,$A27,DATA_DIARIO!$B$2:$B$500,"Millalemu 7"),""))</f>
        <v/>
      </c>
      <c r="N27" s="55">
        <f>IF($A27&gt;DATA_CONFIG!$B$4,"",IF(COUNTIFS(DATA_DIARIO!$A$2:$A$500,$A27,DATA_DIARIO!$B$2:$B$500,"Millalemu 7")&gt;0,SUMIFS(DATA_DIARIO!$D$2:$D$500,DATA_DIARIO!$A$2:$A$500,$A27,DATA_DIARIO!$B$2:$B$500,"Millalemu 7"),""))</f>
        <v/>
      </c>
      <c r="O27" s="63">
        <f>IF($A27&gt;DATA_CONFIG!$B$4,"",IF(COUNTIFS(DATA_DIARIO!$A$2:$A$500,$A27,DATA_DIARIO!$B$2:$B$500,"Millalemu 9")&gt;0,SUMIFS(DATA_DIARIO!$C$2:$C$500,DATA_DIARIO!$A$2:$A$500,$A27,DATA_DIARIO!$B$2:$B$500,"Millalemu 9"),""))</f>
        <v/>
      </c>
      <c r="P27" s="64">
        <f>IF($A27&gt;DATA_CONFIG!$B$4,"",IF(COUNTIFS(DATA_DIARIO!$A$2:$A$500,$A27,DATA_DIARIO!$B$2:$B$500,"Millalemu 9")&gt;0,SUMIFS(DATA_DIARIO!$D$2:$D$500,DATA_DIARIO!$A$2:$A$500,$A27,DATA_DIARIO!$B$2:$B$500,"Millalemu 9"),""))</f>
        <v/>
      </c>
      <c r="Q27" s="54">
        <f>IF($A27&gt;DATA_CONFIG!$B$4,"",IF(COUNTIFS(DATA_DIARIO!$A$2:$A$500,$A27,DATA_DIARIO!$B$2:$B$500,"Millalemu 11")&gt;0,SUMIFS(DATA_DIARIO!$C$2:$C$500,DATA_DIARIO!$A$2:$A$500,$A27,DATA_DIARIO!$B$2:$B$500,"Millalemu 11"),""))</f>
        <v/>
      </c>
      <c r="R27" s="55">
        <f>IF($A27&gt;DATA_CONFIG!$B$4,"",IF(COUNTIFS(DATA_DIARIO!$A$2:$A$500,$A27,DATA_DIARIO!$B$2:$B$500,"Millalemu 11")&gt;0,SUMIFS(DATA_DIARIO!$D$2:$D$500,DATA_DIARIO!$A$2:$A$500,$A27,DATA_DIARIO!$B$2:$B$500,"Millalemu 11"),""))</f>
        <v/>
      </c>
      <c r="S27" s="65">
        <f>IF($A27&gt;DATA_CONFIG!$B$4,"",IF(SUMPRODUCT((DATA_DIARIO!$A$2:$A$500=$A27)*1)&gt;0,SUMIFS(DATA_DIARIO!$C$2:$C$500,DATA_DIARIO!$A$2:$A$500,$A27),""))</f>
        <v/>
      </c>
      <c r="T27" s="66">
        <f>IF(S27="","",IFERROR(S27/S5*100,0))</f>
        <v/>
      </c>
      <c r="U27" s="67">
        <f>IF($A27&gt;DATA_CONFIG!$B$4,"",IF(SUMPRODUCT((DATA_TM!$A$2:$A$500=$A27)*1)&gt;0,SUMIFS(DATA_TM!$F$2:$F$500,DATA_TM!$A$2:$A$500,$A27)/60,""))</f>
        <v/>
      </c>
      <c r="V27" s="5">
        <f>IF($A27&gt;DATA_CONFIG!$B$4,"",IFERROR(INDEX(DATA_CONFIG!$B$22:$B$52,MATCH($A27,DATA_CONFIG!$A$22:$A$52,0)),""))</f>
        <v/>
      </c>
    </row>
    <row r="28" ht="13" customHeight="1" s="150">
      <c r="A28" s="3">
        <f>IF(16&gt;DATA_CONFIG!$B$4,"",16)</f>
        <v/>
      </c>
      <c r="B28" s="4">
        <f>IF($A28&gt;DATA_CONFIG!$B$4,"",TEXT(DATE(DATA_CONFIG!$B$3,DATA_CONFIG!$B$2,$A28),"ddd"))</f>
        <v/>
      </c>
      <c r="C28" s="63">
        <f>IF($A28&gt;DATA_CONFIG!$B$4,"",IF(COUNTIFS(DATA_DIARIO!$A$2:$A$500,$A28,DATA_DIARIO!$B$2:$B$500,"Millalemu 1.1")&gt;0,SUMIFS(DATA_DIARIO!$C$2:$C$500,DATA_DIARIO!$A$2:$A$500,$A28,DATA_DIARIO!$B$2:$B$500,"Millalemu 1.1"),""))</f>
        <v/>
      </c>
      <c r="D28" s="64">
        <f>IF($A28&gt;DATA_CONFIG!$B$4,"",IF(COUNTIFS(DATA_DIARIO!$A$2:$A$500,$A28,DATA_DIARIO!$B$2:$B$500,"Millalemu 1.1")&gt;0,SUMIFS(DATA_DIARIO!$D$2:$D$500,DATA_DIARIO!$A$2:$A$500,$A28,DATA_DIARIO!$B$2:$B$500,"Millalemu 1.1"),""))</f>
        <v/>
      </c>
      <c r="E28" s="56">
        <f>IF($A28&gt;DATA_CONFIG!$B$4,"",IF(COUNTIFS(DATA_DIARIO!$A$2:$A$500,$A28,DATA_DIARIO!$B$2:$B$500,"Millalemu 1.2")&gt;0,SUMIFS(DATA_DIARIO!$C$2:$C$500,DATA_DIARIO!$A$2:$A$500,$A28,DATA_DIARIO!$B$2:$B$500,"Millalemu 1.2"),""))</f>
        <v/>
      </c>
      <c r="F28" s="57">
        <f>IF($A28&gt;DATA_CONFIG!$B$4,"",IF(COUNTIFS(DATA_DIARIO!$A$2:$A$500,$A28,DATA_DIARIO!$B$2:$B$500,"Millalemu 1.2")&gt;0,SUMIFS(DATA_DIARIO!$D$2:$D$500,DATA_DIARIO!$A$2:$A$500,$A28,DATA_DIARIO!$B$2:$B$500,"Millalemu 1.2"),""))</f>
        <v/>
      </c>
      <c r="G28" s="63">
        <f>IF($A28&gt;DATA_CONFIG!$B$4,"",IF(COUNTIFS(DATA_DIARIO!$A$2:$A$500,$A28,DATA_DIARIO!$B$2:$B$500,"Millalemu 1.3")&gt;0,SUMIFS(DATA_DIARIO!$C$2:$C$500,DATA_DIARIO!$A$2:$A$500,$A28,DATA_DIARIO!$B$2:$B$500,"Millalemu 1.3"),""))</f>
        <v/>
      </c>
      <c r="H28" s="64">
        <f>IF($A28&gt;DATA_CONFIG!$B$4,"",IF(COUNTIFS(DATA_DIARIO!$A$2:$A$500,$A28,DATA_DIARIO!$B$2:$B$500,"Millalemu 1.3")&gt;0,SUMIFS(DATA_DIARIO!$D$2:$D$500,DATA_DIARIO!$A$2:$A$500,$A28,DATA_DIARIO!$B$2:$B$500,"Millalemu 1.3"),""))</f>
        <v/>
      </c>
      <c r="I28" s="54">
        <f>IF($A28&gt;DATA_CONFIG!$B$4,"",IF(COUNTIFS(DATA_DIARIO!$A$2:$A$500,$A28,DATA_DIARIO!$B$2:$B$500,"Millalemu 1.4")&gt;0,SUMIFS(DATA_DIARIO!$C$2:$C$500,DATA_DIARIO!$A$2:$A$500,$A28,DATA_DIARIO!$B$2:$B$500,"Millalemu 1.4"),""))</f>
        <v/>
      </c>
      <c r="J28" s="55">
        <f>IF($A28&gt;DATA_CONFIG!$B$4,"",IF(COUNTIFS(DATA_DIARIO!$A$2:$A$500,$A28,DATA_DIARIO!$B$2:$B$500,"Millalemu 1.4")&gt;0,SUMIFS(DATA_DIARIO!$D$2:$D$500,DATA_DIARIO!$A$2:$A$500,$A28,DATA_DIARIO!$B$2:$B$500,"Millalemu 1.4"),""))</f>
        <v/>
      </c>
      <c r="K28" s="63">
        <f>IF($A28&gt;DATA_CONFIG!$B$4,"",IF(COUNTIFS(DATA_DIARIO!$A$2:$A$500,$A28,DATA_DIARIO!$B$2:$B$500,"Millalemu 5")&gt;0,SUMIFS(DATA_DIARIO!$C$2:$C$500,DATA_DIARIO!$A$2:$A$500,$A28,DATA_DIARIO!$B$2:$B$500,"Millalemu 5"),""))</f>
        <v/>
      </c>
      <c r="L28" s="64">
        <f>IF($A28&gt;DATA_CONFIG!$B$4,"",IF(COUNTIFS(DATA_DIARIO!$A$2:$A$500,$A28,DATA_DIARIO!$B$2:$B$500,"Millalemu 5")&gt;0,SUMIFS(DATA_DIARIO!$D$2:$D$500,DATA_DIARIO!$A$2:$A$500,$A28,DATA_DIARIO!$B$2:$B$500,"Millalemu 5"),""))</f>
        <v/>
      </c>
      <c r="M28" s="54">
        <f>IF($A28&gt;DATA_CONFIG!$B$4,"",IF(COUNTIFS(DATA_DIARIO!$A$2:$A$500,$A28,DATA_DIARIO!$B$2:$B$500,"Millalemu 7")&gt;0,SUMIFS(DATA_DIARIO!$C$2:$C$500,DATA_DIARIO!$A$2:$A$500,$A28,DATA_DIARIO!$B$2:$B$500,"Millalemu 7"),""))</f>
        <v/>
      </c>
      <c r="N28" s="55">
        <f>IF($A28&gt;DATA_CONFIG!$B$4,"",IF(COUNTIFS(DATA_DIARIO!$A$2:$A$500,$A28,DATA_DIARIO!$B$2:$B$500,"Millalemu 7")&gt;0,SUMIFS(DATA_DIARIO!$D$2:$D$500,DATA_DIARIO!$A$2:$A$500,$A28,DATA_DIARIO!$B$2:$B$500,"Millalemu 7"),""))</f>
        <v/>
      </c>
      <c r="O28" s="63">
        <f>IF($A28&gt;DATA_CONFIG!$B$4,"",IF(COUNTIFS(DATA_DIARIO!$A$2:$A$500,$A28,DATA_DIARIO!$B$2:$B$500,"Millalemu 9")&gt;0,SUMIFS(DATA_DIARIO!$C$2:$C$500,DATA_DIARIO!$A$2:$A$500,$A28,DATA_DIARIO!$B$2:$B$500,"Millalemu 9"),""))</f>
        <v/>
      </c>
      <c r="P28" s="64">
        <f>IF($A28&gt;DATA_CONFIG!$B$4,"",IF(COUNTIFS(DATA_DIARIO!$A$2:$A$500,$A28,DATA_DIARIO!$B$2:$B$500,"Millalemu 9")&gt;0,SUMIFS(DATA_DIARIO!$D$2:$D$500,DATA_DIARIO!$A$2:$A$500,$A28,DATA_DIARIO!$B$2:$B$500,"Millalemu 9"),""))</f>
        <v/>
      </c>
      <c r="Q28" s="54">
        <f>IF($A28&gt;DATA_CONFIG!$B$4,"",IF(COUNTIFS(DATA_DIARIO!$A$2:$A$500,$A28,DATA_DIARIO!$B$2:$B$500,"Millalemu 11")&gt;0,SUMIFS(DATA_DIARIO!$C$2:$C$500,DATA_DIARIO!$A$2:$A$500,$A28,DATA_DIARIO!$B$2:$B$500,"Millalemu 11"),""))</f>
        <v/>
      </c>
      <c r="R28" s="55">
        <f>IF($A28&gt;DATA_CONFIG!$B$4,"",IF(COUNTIFS(DATA_DIARIO!$A$2:$A$500,$A28,DATA_DIARIO!$B$2:$B$500,"Millalemu 11")&gt;0,SUMIFS(DATA_DIARIO!$D$2:$D$500,DATA_DIARIO!$A$2:$A$500,$A28,DATA_DIARIO!$B$2:$B$500,"Millalemu 11"),""))</f>
        <v/>
      </c>
      <c r="S28" s="65">
        <f>IF($A28&gt;DATA_CONFIG!$B$4,"",IF(SUMPRODUCT((DATA_DIARIO!$A$2:$A$500=$A28)*1)&gt;0,SUMIFS(DATA_DIARIO!$C$2:$C$500,DATA_DIARIO!$A$2:$A$500,$A28),""))</f>
        <v/>
      </c>
      <c r="T28" s="66">
        <f>IF(S28="","",IFERROR(S28/S5*100,0))</f>
        <v/>
      </c>
      <c r="U28" s="67">
        <f>IF($A28&gt;DATA_CONFIG!$B$4,"",IF(SUMPRODUCT((DATA_TM!$A$2:$A$500=$A28)*1)&gt;0,SUMIFS(DATA_TM!$F$2:$F$500,DATA_TM!$A$2:$A$500,$A28)/60,""))</f>
        <v/>
      </c>
      <c r="V28" s="5">
        <f>IF($A28&gt;DATA_CONFIG!$B$4,"",IFERROR(INDEX(DATA_CONFIG!$B$22:$B$52,MATCH($A28,DATA_CONFIG!$A$22:$A$52,0)),""))</f>
        <v/>
      </c>
    </row>
    <row r="29" ht="13" customHeight="1" s="150">
      <c r="A29" s="3">
        <f>IF(17&gt;DATA_CONFIG!$B$4,"",17)</f>
        <v/>
      </c>
      <c r="B29" s="4">
        <f>IF($A29&gt;DATA_CONFIG!$B$4,"",TEXT(DATE(DATA_CONFIG!$B$3,DATA_CONFIG!$B$2,$A29),"ddd"))</f>
        <v/>
      </c>
      <c r="C29" s="63">
        <f>IF($A29&gt;DATA_CONFIG!$B$4,"",IF(COUNTIFS(DATA_DIARIO!$A$2:$A$500,$A29,DATA_DIARIO!$B$2:$B$500,"Millalemu 1.1")&gt;0,SUMIFS(DATA_DIARIO!$C$2:$C$500,DATA_DIARIO!$A$2:$A$500,$A29,DATA_DIARIO!$B$2:$B$500,"Millalemu 1.1"),""))</f>
        <v/>
      </c>
      <c r="D29" s="64">
        <f>IF($A29&gt;DATA_CONFIG!$B$4,"",IF(COUNTIFS(DATA_DIARIO!$A$2:$A$500,$A29,DATA_DIARIO!$B$2:$B$500,"Millalemu 1.1")&gt;0,SUMIFS(DATA_DIARIO!$D$2:$D$500,DATA_DIARIO!$A$2:$A$500,$A29,DATA_DIARIO!$B$2:$B$500,"Millalemu 1.1"),""))</f>
        <v/>
      </c>
      <c r="E29" s="56">
        <f>IF($A29&gt;DATA_CONFIG!$B$4,"",IF(COUNTIFS(DATA_DIARIO!$A$2:$A$500,$A29,DATA_DIARIO!$B$2:$B$500,"Millalemu 1.2")&gt;0,SUMIFS(DATA_DIARIO!$C$2:$C$500,DATA_DIARIO!$A$2:$A$500,$A29,DATA_DIARIO!$B$2:$B$500,"Millalemu 1.2"),""))</f>
        <v/>
      </c>
      <c r="F29" s="57">
        <f>IF($A29&gt;DATA_CONFIG!$B$4,"",IF(COUNTIFS(DATA_DIARIO!$A$2:$A$500,$A29,DATA_DIARIO!$B$2:$B$500,"Millalemu 1.2")&gt;0,SUMIFS(DATA_DIARIO!$D$2:$D$500,DATA_DIARIO!$A$2:$A$500,$A29,DATA_DIARIO!$B$2:$B$500,"Millalemu 1.2"),""))</f>
        <v/>
      </c>
      <c r="G29" s="63">
        <f>IF($A29&gt;DATA_CONFIG!$B$4,"",IF(COUNTIFS(DATA_DIARIO!$A$2:$A$500,$A29,DATA_DIARIO!$B$2:$B$500,"Millalemu 1.3")&gt;0,SUMIFS(DATA_DIARIO!$C$2:$C$500,DATA_DIARIO!$A$2:$A$500,$A29,DATA_DIARIO!$B$2:$B$500,"Millalemu 1.3"),""))</f>
        <v/>
      </c>
      <c r="H29" s="64">
        <f>IF($A29&gt;DATA_CONFIG!$B$4,"",IF(COUNTIFS(DATA_DIARIO!$A$2:$A$500,$A29,DATA_DIARIO!$B$2:$B$500,"Millalemu 1.3")&gt;0,SUMIFS(DATA_DIARIO!$D$2:$D$500,DATA_DIARIO!$A$2:$A$500,$A29,DATA_DIARIO!$B$2:$B$500,"Millalemu 1.3"),""))</f>
        <v/>
      </c>
      <c r="I29" s="54">
        <f>IF($A29&gt;DATA_CONFIG!$B$4,"",IF(COUNTIFS(DATA_DIARIO!$A$2:$A$500,$A29,DATA_DIARIO!$B$2:$B$500,"Millalemu 1.4")&gt;0,SUMIFS(DATA_DIARIO!$C$2:$C$500,DATA_DIARIO!$A$2:$A$500,$A29,DATA_DIARIO!$B$2:$B$500,"Millalemu 1.4"),""))</f>
        <v/>
      </c>
      <c r="J29" s="55">
        <f>IF($A29&gt;DATA_CONFIG!$B$4,"",IF(COUNTIFS(DATA_DIARIO!$A$2:$A$500,$A29,DATA_DIARIO!$B$2:$B$500,"Millalemu 1.4")&gt;0,SUMIFS(DATA_DIARIO!$D$2:$D$500,DATA_DIARIO!$A$2:$A$500,$A29,DATA_DIARIO!$B$2:$B$500,"Millalemu 1.4"),""))</f>
        <v/>
      </c>
      <c r="K29" s="63">
        <f>IF($A29&gt;DATA_CONFIG!$B$4,"",IF(COUNTIFS(DATA_DIARIO!$A$2:$A$500,$A29,DATA_DIARIO!$B$2:$B$500,"Millalemu 5")&gt;0,SUMIFS(DATA_DIARIO!$C$2:$C$500,DATA_DIARIO!$A$2:$A$500,$A29,DATA_DIARIO!$B$2:$B$500,"Millalemu 5"),""))</f>
        <v/>
      </c>
      <c r="L29" s="64">
        <f>IF($A29&gt;DATA_CONFIG!$B$4,"",IF(COUNTIFS(DATA_DIARIO!$A$2:$A$500,$A29,DATA_DIARIO!$B$2:$B$500,"Millalemu 5")&gt;0,SUMIFS(DATA_DIARIO!$D$2:$D$500,DATA_DIARIO!$A$2:$A$500,$A29,DATA_DIARIO!$B$2:$B$500,"Millalemu 5"),""))</f>
        <v/>
      </c>
      <c r="M29" s="54">
        <f>IF($A29&gt;DATA_CONFIG!$B$4,"",IF(COUNTIFS(DATA_DIARIO!$A$2:$A$500,$A29,DATA_DIARIO!$B$2:$B$500,"Millalemu 7")&gt;0,SUMIFS(DATA_DIARIO!$C$2:$C$500,DATA_DIARIO!$A$2:$A$500,$A29,DATA_DIARIO!$B$2:$B$500,"Millalemu 7"),""))</f>
        <v/>
      </c>
      <c r="N29" s="55">
        <f>IF($A29&gt;DATA_CONFIG!$B$4,"",IF(COUNTIFS(DATA_DIARIO!$A$2:$A$500,$A29,DATA_DIARIO!$B$2:$B$500,"Millalemu 7")&gt;0,SUMIFS(DATA_DIARIO!$D$2:$D$500,DATA_DIARIO!$A$2:$A$500,$A29,DATA_DIARIO!$B$2:$B$500,"Millalemu 7"),""))</f>
        <v/>
      </c>
      <c r="O29" s="63">
        <f>IF($A29&gt;DATA_CONFIG!$B$4,"",IF(COUNTIFS(DATA_DIARIO!$A$2:$A$500,$A29,DATA_DIARIO!$B$2:$B$500,"Millalemu 9")&gt;0,SUMIFS(DATA_DIARIO!$C$2:$C$500,DATA_DIARIO!$A$2:$A$500,$A29,DATA_DIARIO!$B$2:$B$500,"Millalemu 9"),""))</f>
        <v/>
      </c>
      <c r="P29" s="64">
        <f>IF($A29&gt;DATA_CONFIG!$B$4,"",IF(COUNTIFS(DATA_DIARIO!$A$2:$A$500,$A29,DATA_DIARIO!$B$2:$B$500,"Millalemu 9")&gt;0,SUMIFS(DATA_DIARIO!$D$2:$D$500,DATA_DIARIO!$A$2:$A$500,$A29,DATA_DIARIO!$B$2:$B$500,"Millalemu 9"),""))</f>
        <v/>
      </c>
      <c r="Q29" s="54">
        <f>IF($A29&gt;DATA_CONFIG!$B$4,"",IF(COUNTIFS(DATA_DIARIO!$A$2:$A$500,$A29,DATA_DIARIO!$B$2:$B$500,"Millalemu 11")&gt;0,SUMIFS(DATA_DIARIO!$C$2:$C$500,DATA_DIARIO!$A$2:$A$500,$A29,DATA_DIARIO!$B$2:$B$500,"Millalemu 11"),""))</f>
        <v/>
      </c>
      <c r="R29" s="55">
        <f>IF($A29&gt;DATA_CONFIG!$B$4,"",IF(COUNTIFS(DATA_DIARIO!$A$2:$A$500,$A29,DATA_DIARIO!$B$2:$B$500,"Millalemu 11")&gt;0,SUMIFS(DATA_DIARIO!$D$2:$D$500,DATA_DIARIO!$A$2:$A$500,$A29,DATA_DIARIO!$B$2:$B$500,"Millalemu 11"),""))</f>
        <v/>
      </c>
      <c r="S29" s="65">
        <f>IF($A29&gt;DATA_CONFIG!$B$4,"",IF(SUMPRODUCT((DATA_DIARIO!$A$2:$A$500=$A29)*1)&gt;0,SUMIFS(DATA_DIARIO!$C$2:$C$500,DATA_DIARIO!$A$2:$A$500,$A29),""))</f>
        <v/>
      </c>
      <c r="T29" s="66">
        <f>IF(S29="","",IFERROR(S29/S5*100,0))</f>
        <v/>
      </c>
      <c r="U29" s="67">
        <f>IF($A29&gt;DATA_CONFIG!$B$4,"",IF(SUMPRODUCT((DATA_TM!$A$2:$A$500=$A29)*1)&gt;0,SUMIFS(DATA_TM!$F$2:$F$500,DATA_TM!$A$2:$A$500,$A29)/60,""))</f>
        <v/>
      </c>
      <c r="V29" s="5">
        <f>IF($A29&gt;DATA_CONFIG!$B$4,"",IFERROR(INDEX(DATA_CONFIG!$B$22:$B$52,MATCH($A29,DATA_CONFIG!$A$22:$A$52,0)),""))</f>
        <v/>
      </c>
    </row>
    <row r="30" ht="13" customHeight="1" s="150">
      <c r="A30" s="3">
        <f>IF(18&gt;DATA_CONFIG!$B$4,"",18)</f>
        <v/>
      </c>
      <c r="B30" s="4">
        <f>IF($A30&gt;DATA_CONFIG!$B$4,"",TEXT(DATE(DATA_CONFIG!$B$3,DATA_CONFIG!$B$2,$A30),"ddd"))</f>
        <v/>
      </c>
      <c r="C30" s="63">
        <f>IF($A30&gt;DATA_CONFIG!$B$4,"",IF(COUNTIFS(DATA_DIARIO!$A$2:$A$500,$A30,DATA_DIARIO!$B$2:$B$500,"Millalemu 1.1")&gt;0,SUMIFS(DATA_DIARIO!$C$2:$C$500,DATA_DIARIO!$A$2:$A$500,$A30,DATA_DIARIO!$B$2:$B$500,"Millalemu 1.1"),""))</f>
        <v/>
      </c>
      <c r="D30" s="64">
        <f>IF($A30&gt;DATA_CONFIG!$B$4,"",IF(COUNTIFS(DATA_DIARIO!$A$2:$A$500,$A30,DATA_DIARIO!$B$2:$B$500,"Millalemu 1.1")&gt;0,SUMIFS(DATA_DIARIO!$D$2:$D$500,DATA_DIARIO!$A$2:$A$500,$A30,DATA_DIARIO!$B$2:$B$500,"Millalemu 1.1"),""))</f>
        <v/>
      </c>
      <c r="E30" s="56">
        <f>IF($A30&gt;DATA_CONFIG!$B$4,"",IF(COUNTIFS(DATA_DIARIO!$A$2:$A$500,$A30,DATA_DIARIO!$B$2:$B$500,"Millalemu 1.2")&gt;0,SUMIFS(DATA_DIARIO!$C$2:$C$500,DATA_DIARIO!$A$2:$A$500,$A30,DATA_DIARIO!$B$2:$B$500,"Millalemu 1.2"),""))</f>
        <v/>
      </c>
      <c r="F30" s="57">
        <f>IF($A30&gt;DATA_CONFIG!$B$4,"",IF(COUNTIFS(DATA_DIARIO!$A$2:$A$500,$A30,DATA_DIARIO!$B$2:$B$500,"Millalemu 1.2")&gt;0,SUMIFS(DATA_DIARIO!$D$2:$D$500,DATA_DIARIO!$A$2:$A$500,$A30,DATA_DIARIO!$B$2:$B$500,"Millalemu 1.2"),""))</f>
        <v/>
      </c>
      <c r="G30" s="63">
        <f>IF($A30&gt;DATA_CONFIG!$B$4,"",IF(COUNTIFS(DATA_DIARIO!$A$2:$A$500,$A30,DATA_DIARIO!$B$2:$B$500,"Millalemu 1.3")&gt;0,SUMIFS(DATA_DIARIO!$C$2:$C$500,DATA_DIARIO!$A$2:$A$500,$A30,DATA_DIARIO!$B$2:$B$500,"Millalemu 1.3"),""))</f>
        <v/>
      </c>
      <c r="H30" s="64">
        <f>IF($A30&gt;DATA_CONFIG!$B$4,"",IF(COUNTIFS(DATA_DIARIO!$A$2:$A$500,$A30,DATA_DIARIO!$B$2:$B$500,"Millalemu 1.3")&gt;0,SUMIFS(DATA_DIARIO!$D$2:$D$500,DATA_DIARIO!$A$2:$A$500,$A30,DATA_DIARIO!$B$2:$B$500,"Millalemu 1.3"),""))</f>
        <v/>
      </c>
      <c r="I30" s="54">
        <f>IF($A30&gt;DATA_CONFIG!$B$4,"",IF(COUNTIFS(DATA_DIARIO!$A$2:$A$500,$A30,DATA_DIARIO!$B$2:$B$500,"Millalemu 1.4")&gt;0,SUMIFS(DATA_DIARIO!$C$2:$C$500,DATA_DIARIO!$A$2:$A$500,$A30,DATA_DIARIO!$B$2:$B$500,"Millalemu 1.4"),""))</f>
        <v/>
      </c>
      <c r="J30" s="55">
        <f>IF($A30&gt;DATA_CONFIG!$B$4,"",IF(COUNTIFS(DATA_DIARIO!$A$2:$A$500,$A30,DATA_DIARIO!$B$2:$B$500,"Millalemu 1.4")&gt;0,SUMIFS(DATA_DIARIO!$D$2:$D$500,DATA_DIARIO!$A$2:$A$500,$A30,DATA_DIARIO!$B$2:$B$500,"Millalemu 1.4"),""))</f>
        <v/>
      </c>
      <c r="K30" s="63">
        <f>IF($A30&gt;DATA_CONFIG!$B$4,"",IF(COUNTIFS(DATA_DIARIO!$A$2:$A$500,$A30,DATA_DIARIO!$B$2:$B$500,"Millalemu 5")&gt;0,SUMIFS(DATA_DIARIO!$C$2:$C$500,DATA_DIARIO!$A$2:$A$500,$A30,DATA_DIARIO!$B$2:$B$500,"Millalemu 5"),""))</f>
        <v/>
      </c>
      <c r="L30" s="64">
        <f>IF($A30&gt;DATA_CONFIG!$B$4,"",IF(COUNTIFS(DATA_DIARIO!$A$2:$A$500,$A30,DATA_DIARIO!$B$2:$B$500,"Millalemu 5")&gt;0,SUMIFS(DATA_DIARIO!$D$2:$D$500,DATA_DIARIO!$A$2:$A$500,$A30,DATA_DIARIO!$B$2:$B$500,"Millalemu 5"),""))</f>
        <v/>
      </c>
      <c r="M30" s="54">
        <f>IF($A30&gt;DATA_CONFIG!$B$4,"",IF(COUNTIFS(DATA_DIARIO!$A$2:$A$500,$A30,DATA_DIARIO!$B$2:$B$500,"Millalemu 7")&gt;0,SUMIFS(DATA_DIARIO!$C$2:$C$500,DATA_DIARIO!$A$2:$A$500,$A30,DATA_DIARIO!$B$2:$B$500,"Millalemu 7"),""))</f>
        <v/>
      </c>
      <c r="N30" s="55">
        <f>IF($A30&gt;DATA_CONFIG!$B$4,"",IF(COUNTIFS(DATA_DIARIO!$A$2:$A$500,$A30,DATA_DIARIO!$B$2:$B$500,"Millalemu 7")&gt;0,SUMIFS(DATA_DIARIO!$D$2:$D$500,DATA_DIARIO!$A$2:$A$500,$A30,DATA_DIARIO!$B$2:$B$500,"Millalemu 7"),""))</f>
        <v/>
      </c>
      <c r="O30" s="63">
        <f>IF($A30&gt;DATA_CONFIG!$B$4,"",IF(COUNTIFS(DATA_DIARIO!$A$2:$A$500,$A30,DATA_DIARIO!$B$2:$B$500,"Millalemu 9")&gt;0,SUMIFS(DATA_DIARIO!$C$2:$C$500,DATA_DIARIO!$A$2:$A$500,$A30,DATA_DIARIO!$B$2:$B$500,"Millalemu 9"),""))</f>
        <v/>
      </c>
      <c r="P30" s="64">
        <f>IF($A30&gt;DATA_CONFIG!$B$4,"",IF(COUNTIFS(DATA_DIARIO!$A$2:$A$500,$A30,DATA_DIARIO!$B$2:$B$500,"Millalemu 9")&gt;0,SUMIFS(DATA_DIARIO!$D$2:$D$500,DATA_DIARIO!$A$2:$A$500,$A30,DATA_DIARIO!$B$2:$B$500,"Millalemu 9"),""))</f>
        <v/>
      </c>
      <c r="Q30" s="54">
        <f>IF($A30&gt;DATA_CONFIG!$B$4,"",IF(COUNTIFS(DATA_DIARIO!$A$2:$A$500,$A30,DATA_DIARIO!$B$2:$B$500,"Millalemu 11")&gt;0,SUMIFS(DATA_DIARIO!$C$2:$C$500,DATA_DIARIO!$A$2:$A$500,$A30,DATA_DIARIO!$B$2:$B$500,"Millalemu 11"),""))</f>
        <v/>
      </c>
      <c r="R30" s="55">
        <f>IF($A30&gt;DATA_CONFIG!$B$4,"",IF(COUNTIFS(DATA_DIARIO!$A$2:$A$500,$A30,DATA_DIARIO!$B$2:$B$500,"Millalemu 11")&gt;0,SUMIFS(DATA_DIARIO!$D$2:$D$500,DATA_DIARIO!$A$2:$A$500,$A30,DATA_DIARIO!$B$2:$B$500,"Millalemu 11"),""))</f>
        <v/>
      </c>
      <c r="S30" s="65">
        <f>IF($A30&gt;DATA_CONFIG!$B$4,"",IF(SUMPRODUCT((DATA_DIARIO!$A$2:$A$500=$A30)*1)&gt;0,SUMIFS(DATA_DIARIO!$C$2:$C$500,DATA_DIARIO!$A$2:$A$500,$A30),""))</f>
        <v/>
      </c>
      <c r="T30" s="66">
        <f>IF(S30="","",IFERROR(S30/S5*100,0))</f>
        <v/>
      </c>
      <c r="U30" s="67">
        <f>IF($A30&gt;DATA_CONFIG!$B$4,"",IF(SUMPRODUCT((DATA_TM!$A$2:$A$500=$A30)*1)&gt;0,SUMIFS(DATA_TM!$F$2:$F$500,DATA_TM!$A$2:$A$500,$A30)/60,""))</f>
        <v/>
      </c>
      <c r="V30" s="5">
        <f>IF($A30&gt;DATA_CONFIG!$B$4,"",IFERROR(INDEX(DATA_CONFIG!$B$22:$B$52,MATCH($A30,DATA_CONFIG!$A$22:$A$52,0)),""))</f>
        <v/>
      </c>
    </row>
    <row r="31" ht="13" customHeight="1" s="150">
      <c r="A31" s="3">
        <f>IF(19&gt;DATA_CONFIG!$B$4,"",19)</f>
        <v/>
      </c>
      <c r="B31" s="4">
        <f>IF($A31&gt;DATA_CONFIG!$B$4,"",TEXT(DATE(DATA_CONFIG!$B$3,DATA_CONFIG!$B$2,$A31),"ddd"))</f>
        <v/>
      </c>
      <c r="C31" s="63">
        <f>IF($A31&gt;DATA_CONFIG!$B$4,"",IF(COUNTIFS(DATA_DIARIO!$A$2:$A$500,$A31,DATA_DIARIO!$B$2:$B$500,"Millalemu 1.1")&gt;0,SUMIFS(DATA_DIARIO!$C$2:$C$500,DATA_DIARIO!$A$2:$A$500,$A31,DATA_DIARIO!$B$2:$B$500,"Millalemu 1.1"),""))</f>
        <v/>
      </c>
      <c r="D31" s="64">
        <f>IF($A31&gt;DATA_CONFIG!$B$4,"",IF(COUNTIFS(DATA_DIARIO!$A$2:$A$500,$A31,DATA_DIARIO!$B$2:$B$500,"Millalemu 1.1")&gt;0,SUMIFS(DATA_DIARIO!$D$2:$D$500,DATA_DIARIO!$A$2:$A$500,$A31,DATA_DIARIO!$B$2:$B$500,"Millalemu 1.1"),""))</f>
        <v/>
      </c>
      <c r="E31" s="56">
        <f>IF($A31&gt;DATA_CONFIG!$B$4,"",IF(COUNTIFS(DATA_DIARIO!$A$2:$A$500,$A31,DATA_DIARIO!$B$2:$B$500,"Millalemu 1.2")&gt;0,SUMIFS(DATA_DIARIO!$C$2:$C$500,DATA_DIARIO!$A$2:$A$500,$A31,DATA_DIARIO!$B$2:$B$500,"Millalemu 1.2"),""))</f>
        <v/>
      </c>
      <c r="F31" s="57">
        <f>IF($A31&gt;DATA_CONFIG!$B$4,"",IF(COUNTIFS(DATA_DIARIO!$A$2:$A$500,$A31,DATA_DIARIO!$B$2:$B$500,"Millalemu 1.2")&gt;0,SUMIFS(DATA_DIARIO!$D$2:$D$500,DATA_DIARIO!$A$2:$A$500,$A31,DATA_DIARIO!$B$2:$B$500,"Millalemu 1.2"),""))</f>
        <v/>
      </c>
      <c r="G31" s="63">
        <f>IF($A31&gt;DATA_CONFIG!$B$4,"",IF(COUNTIFS(DATA_DIARIO!$A$2:$A$500,$A31,DATA_DIARIO!$B$2:$B$500,"Millalemu 1.3")&gt;0,SUMIFS(DATA_DIARIO!$C$2:$C$500,DATA_DIARIO!$A$2:$A$500,$A31,DATA_DIARIO!$B$2:$B$500,"Millalemu 1.3"),""))</f>
        <v/>
      </c>
      <c r="H31" s="64">
        <f>IF($A31&gt;DATA_CONFIG!$B$4,"",IF(COUNTIFS(DATA_DIARIO!$A$2:$A$500,$A31,DATA_DIARIO!$B$2:$B$500,"Millalemu 1.3")&gt;0,SUMIFS(DATA_DIARIO!$D$2:$D$500,DATA_DIARIO!$A$2:$A$500,$A31,DATA_DIARIO!$B$2:$B$500,"Millalemu 1.3"),""))</f>
        <v/>
      </c>
      <c r="I31" s="54">
        <f>IF($A31&gt;DATA_CONFIG!$B$4,"",IF(COUNTIFS(DATA_DIARIO!$A$2:$A$500,$A31,DATA_DIARIO!$B$2:$B$500,"Millalemu 1.4")&gt;0,SUMIFS(DATA_DIARIO!$C$2:$C$500,DATA_DIARIO!$A$2:$A$500,$A31,DATA_DIARIO!$B$2:$B$500,"Millalemu 1.4"),""))</f>
        <v/>
      </c>
      <c r="J31" s="55">
        <f>IF($A31&gt;DATA_CONFIG!$B$4,"",IF(COUNTIFS(DATA_DIARIO!$A$2:$A$500,$A31,DATA_DIARIO!$B$2:$B$500,"Millalemu 1.4")&gt;0,SUMIFS(DATA_DIARIO!$D$2:$D$500,DATA_DIARIO!$A$2:$A$500,$A31,DATA_DIARIO!$B$2:$B$500,"Millalemu 1.4"),""))</f>
        <v/>
      </c>
      <c r="K31" s="63">
        <f>IF($A31&gt;DATA_CONFIG!$B$4,"",IF(COUNTIFS(DATA_DIARIO!$A$2:$A$500,$A31,DATA_DIARIO!$B$2:$B$500,"Millalemu 5")&gt;0,SUMIFS(DATA_DIARIO!$C$2:$C$500,DATA_DIARIO!$A$2:$A$500,$A31,DATA_DIARIO!$B$2:$B$500,"Millalemu 5"),""))</f>
        <v/>
      </c>
      <c r="L31" s="64">
        <f>IF($A31&gt;DATA_CONFIG!$B$4,"",IF(COUNTIFS(DATA_DIARIO!$A$2:$A$500,$A31,DATA_DIARIO!$B$2:$B$500,"Millalemu 5")&gt;0,SUMIFS(DATA_DIARIO!$D$2:$D$500,DATA_DIARIO!$A$2:$A$500,$A31,DATA_DIARIO!$B$2:$B$500,"Millalemu 5"),""))</f>
        <v/>
      </c>
      <c r="M31" s="54">
        <f>IF($A31&gt;DATA_CONFIG!$B$4,"",IF(COUNTIFS(DATA_DIARIO!$A$2:$A$500,$A31,DATA_DIARIO!$B$2:$B$500,"Millalemu 7")&gt;0,SUMIFS(DATA_DIARIO!$C$2:$C$500,DATA_DIARIO!$A$2:$A$500,$A31,DATA_DIARIO!$B$2:$B$500,"Millalemu 7"),""))</f>
        <v/>
      </c>
      <c r="N31" s="55">
        <f>IF($A31&gt;DATA_CONFIG!$B$4,"",IF(COUNTIFS(DATA_DIARIO!$A$2:$A$500,$A31,DATA_DIARIO!$B$2:$B$500,"Millalemu 7")&gt;0,SUMIFS(DATA_DIARIO!$D$2:$D$500,DATA_DIARIO!$A$2:$A$500,$A31,DATA_DIARIO!$B$2:$B$500,"Millalemu 7"),""))</f>
        <v/>
      </c>
      <c r="O31" s="63">
        <f>IF($A31&gt;DATA_CONFIG!$B$4,"",IF(COUNTIFS(DATA_DIARIO!$A$2:$A$500,$A31,DATA_DIARIO!$B$2:$B$500,"Millalemu 9")&gt;0,SUMIFS(DATA_DIARIO!$C$2:$C$500,DATA_DIARIO!$A$2:$A$500,$A31,DATA_DIARIO!$B$2:$B$500,"Millalemu 9"),""))</f>
        <v/>
      </c>
      <c r="P31" s="64">
        <f>IF($A31&gt;DATA_CONFIG!$B$4,"",IF(COUNTIFS(DATA_DIARIO!$A$2:$A$500,$A31,DATA_DIARIO!$B$2:$B$500,"Millalemu 9")&gt;0,SUMIFS(DATA_DIARIO!$D$2:$D$500,DATA_DIARIO!$A$2:$A$500,$A31,DATA_DIARIO!$B$2:$B$500,"Millalemu 9"),""))</f>
        <v/>
      </c>
      <c r="Q31" s="54">
        <f>IF($A31&gt;DATA_CONFIG!$B$4,"",IF(COUNTIFS(DATA_DIARIO!$A$2:$A$500,$A31,DATA_DIARIO!$B$2:$B$500,"Millalemu 11")&gt;0,SUMIFS(DATA_DIARIO!$C$2:$C$500,DATA_DIARIO!$A$2:$A$500,$A31,DATA_DIARIO!$B$2:$B$500,"Millalemu 11"),""))</f>
        <v/>
      </c>
      <c r="R31" s="55">
        <f>IF($A31&gt;DATA_CONFIG!$B$4,"",IF(COUNTIFS(DATA_DIARIO!$A$2:$A$500,$A31,DATA_DIARIO!$B$2:$B$500,"Millalemu 11")&gt;0,SUMIFS(DATA_DIARIO!$D$2:$D$500,DATA_DIARIO!$A$2:$A$500,$A31,DATA_DIARIO!$B$2:$B$500,"Millalemu 11"),""))</f>
        <v/>
      </c>
      <c r="S31" s="65">
        <f>IF($A31&gt;DATA_CONFIG!$B$4,"",IF(SUMPRODUCT((DATA_DIARIO!$A$2:$A$500=$A31)*1)&gt;0,SUMIFS(DATA_DIARIO!$C$2:$C$500,DATA_DIARIO!$A$2:$A$500,$A31),""))</f>
        <v/>
      </c>
      <c r="T31" s="66">
        <f>IF(S31="","",IFERROR(S31/S5*100,0))</f>
        <v/>
      </c>
      <c r="U31" s="67">
        <f>IF($A31&gt;DATA_CONFIG!$B$4,"",IF(SUMPRODUCT((DATA_TM!$A$2:$A$500=$A31)*1)&gt;0,SUMIFS(DATA_TM!$F$2:$F$500,DATA_TM!$A$2:$A$500,$A31)/60,""))</f>
        <v/>
      </c>
      <c r="V31" s="5">
        <f>IF($A31&gt;DATA_CONFIG!$B$4,"",IFERROR(INDEX(DATA_CONFIG!$B$22:$B$52,MATCH($A31,DATA_CONFIG!$A$22:$A$52,0)),""))</f>
        <v/>
      </c>
    </row>
    <row r="32" ht="13" customHeight="1" s="150">
      <c r="A32" s="3">
        <f>IF(20&gt;DATA_CONFIG!$B$4,"",20)</f>
        <v/>
      </c>
      <c r="B32" s="4">
        <f>IF($A32&gt;DATA_CONFIG!$B$4,"",TEXT(DATE(DATA_CONFIG!$B$3,DATA_CONFIG!$B$2,$A32),"ddd"))</f>
        <v/>
      </c>
      <c r="C32" s="63">
        <f>IF($A32&gt;DATA_CONFIG!$B$4,"",IF(COUNTIFS(DATA_DIARIO!$A$2:$A$500,$A32,DATA_DIARIO!$B$2:$B$500,"Millalemu 1.1")&gt;0,SUMIFS(DATA_DIARIO!$C$2:$C$500,DATA_DIARIO!$A$2:$A$500,$A32,DATA_DIARIO!$B$2:$B$500,"Millalemu 1.1"),""))</f>
        <v/>
      </c>
      <c r="D32" s="64">
        <f>IF($A32&gt;DATA_CONFIG!$B$4,"",IF(COUNTIFS(DATA_DIARIO!$A$2:$A$500,$A32,DATA_DIARIO!$B$2:$B$500,"Millalemu 1.1")&gt;0,SUMIFS(DATA_DIARIO!$D$2:$D$500,DATA_DIARIO!$A$2:$A$500,$A32,DATA_DIARIO!$B$2:$B$500,"Millalemu 1.1"),""))</f>
        <v/>
      </c>
      <c r="E32" s="56">
        <f>IF($A32&gt;DATA_CONFIG!$B$4,"",IF(COUNTIFS(DATA_DIARIO!$A$2:$A$500,$A32,DATA_DIARIO!$B$2:$B$500,"Millalemu 1.2")&gt;0,SUMIFS(DATA_DIARIO!$C$2:$C$500,DATA_DIARIO!$A$2:$A$500,$A32,DATA_DIARIO!$B$2:$B$500,"Millalemu 1.2"),""))</f>
        <v/>
      </c>
      <c r="F32" s="57">
        <f>IF($A32&gt;DATA_CONFIG!$B$4,"",IF(COUNTIFS(DATA_DIARIO!$A$2:$A$500,$A32,DATA_DIARIO!$B$2:$B$500,"Millalemu 1.2")&gt;0,SUMIFS(DATA_DIARIO!$D$2:$D$500,DATA_DIARIO!$A$2:$A$500,$A32,DATA_DIARIO!$B$2:$B$500,"Millalemu 1.2"),""))</f>
        <v/>
      </c>
      <c r="G32" s="63">
        <f>IF($A32&gt;DATA_CONFIG!$B$4,"",IF(COUNTIFS(DATA_DIARIO!$A$2:$A$500,$A32,DATA_DIARIO!$B$2:$B$500,"Millalemu 1.3")&gt;0,SUMIFS(DATA_DIARIO!$C$2:$C$500,DATA_DIARIO!$A$2:$A$500,$A32,DATA_DIARIO!$B$2:$B$500,"Millalemu 1.3"),""))</f>
        <v/>
      </c>
      <c r="H32" s="64">
        <f>IF($A32&gt;DATA_CONFIG!$B$4,"",IF(COUNTIFS(DATA_DIARIO!$A$2:$A$500,$A32,DATA_DIARIO!$B$2:$B$500,"Millalemu 1.3")&gt;0,SUMIFS(DATA_DIARIO!$D$2:$D$500,DATA_DIARIO!$A$2:$A$500,$A32,DATA_DIARIO!$B$2:$B$500,"Millalemu 1.3"),""))</f>
        <v/>
      </c>
      <c r="I32" s="54">
        <f>IF($A32&gt;DATA_CONFIG!$B$4,"",IF(COUNTIFS(DATA_DIARIO!$A$2:$A$500,$A32,DATA_DIARIO!$B$2:$B$500,"Millalemu 1.4")&gt;0,SUMIFS(DATA_DIARIO!$C$2:$C$500,DATA_DIARIO!$A$2:$A$500,$A32,DATA_DIARIO!$B$2:$B$500,"Millalemu 1.4"),""))</f>
        <v/>
      </c>
      <c r="J32" s="55">
        <f>IF($A32&gt;DATA_CONFIG!$B$4,"",IF(COUNTIFS(DATA_DIARIO!$A$2:$A$500,$A32,DATA_DIARIO!$B$2:$B$500,"Millalemu 1.4")&gt;0,SUMIFS(DATA_DIARIO!$D$2:$D$500,DATA_DIARIO!$A$2:$A$500,$A32,DATA_DIARIO!$B$2:$B$500,"Millalemu 1.4"),""))</f>
        <v/>
      </c>
      <c r="K32" s="63">
        <f>IF($A32&gt;DATA_CONFIG!$B$4,"",IF(COUNTIFS(DATA_DIARIO!$A$2:$A$500,$A32,DATA_DIARIO!$B$2:$B$500,"Millalemu 5")&gt;0,SUMIFS(DATA_DIARIO!$C$2:$C$500,DATA_DIARIO!$A$2:$A$500,$A32,DATA_DIARIO!$B$2:$B$500,"Millalemu 5"),""))</f>
        <v/>
      </c>
      <c r="L32" s="64">
        <f>IF($A32&gt;DATA_CONFIG!$B$4,"",IF(COUNTIFS(DATA_DIARIO!$A$2:$A$500,$A32,DATA_DIARIO!$B$2:$B$500,"Millalemu 5")&gt;0,SUMIFS(DATA_DIARIO!$D$2:$D$500,DATA_DIARIO!$A$2:$A$500,$A32,DATA_DIARIO!$B$2:$B$500,"Millalemu 5"),""))</f>
        <v/>
      </c>
      <c r="M32" s="54">
        <f>IF($A32&gt;DATA_CONFIG!$B$4,"",IF(COUNTIFS(DATA_DIARIO!$A$2:$A$500,$A32,DATA_DIARIO!$B$2:$B$500,"Millalemu 7")&gt;0,SUMIFS(DATA_DIARIO!$C$2:$C$500,DATA_DIARIO!$A$2:$A$500,$A32,DATA_DIARIO!$B$2:$B$500,"Millalemu 7"),""))</f>
        <v/>
      </c>
      <c r="N32" s="55">
        <f>IF($A32&gt;DATA_CONFIG!$B$4,"",IF(COUNTIFS(DATA_DIARIO!$A$2:$A$500,$A32,DATA_DIARIO!$B$2:$B$500,"Millalemu 7")&gt;0,SUMIFS(DATA_DIARIO!$D$2:$D$500,DATA_DIARIO!$A$2:$A$500,$A32,DATA_DIARIO!$B$2:$B$500,"Millalemu 7"),""))</f>
        <v/>
      </c>
      <c r="O32" s="63">
        <f>IF($A32&gt;DATA_CONFIG!$B$4,"",IF(COUNTIFS(DATA_DIARIO!$A$2:$A$500,$A32,DATA_DIARIO!$B$2:$B$500,"Millalemu 9")&gt;0,SUMIFS(DATA_DIARIO!$C$2:$C$500,DATA_DIARIO!$A$2:$A$500,$A32,DATA_DIARIO!$B$2:$B$500,"Millalemu 9"),""))</f>
        <v/>
      </c>
      <c r="P32" s="64">
        <f>IF($A32&gt;DATA_CONFIG!$B$4,"",IF(COUNTIFS(DATA_DIARIO!$A$2:$A$500,$A32,DATA_DIARIO!$B$2:$B$500,"Millalemu 9")&gt;0,SUMIFS(DATA_DIARIO!$D$2:$D$500,DATA_DIARIO!$A$2:$A$500,$A32,DATA_DIARIO!$B$2:$B$500,"Millalemu 9"),""))</f>
        <v/>
      </c>
      <c r="Q32" s="54">
        <f>IF($A32&gt;DATA_CONFIG!$B$4,"",IF(COUNTIFS(DATA_DIARIO!$A$2:$A$500,$A32,DATA_DIARIO!$B$2:$B$500,"Millalemu 11")&gt;0,SUMIFS(DATA_DIARIO!$C$2:$C$500,DATA_DIARIO!$A$2:$A$500,$A32,DATA_DIARIO!$B$2:$B$500,"Millalemu 11"),""))</f>
        <v/>
      </c>
      <c r="R32" s="55">
        <f>IF($A32&gt;DATA_CONFIG!$B$4,"",IF(COUNTIFS(DATA_DIARIO!$A$2:$A$500,$A32,DATA_DIARIO!$B$2:$B$500,"Millalemu 11")&gt;0,SUMIFS(DATA_DIARIO!$D$2:$D$500,DATA_DIARIO!$A$2:$A$500,$A32,DATA_DIARIO!$B$2:$B$500,"Millalemu 11"),""))</f>
        <v/>
      </c>
      <c r="S32" s="65">
        <f>IF($A32&gt;DATA_CONFIG!$B$4,"",IF(SUMPRODUCT((DATA_DIARIO!$A$2:$A$500=$A32)*1)&gt;0,SUMIFS(DATA_DIARIO!$C$2:$C$500,DATA_DIARIO!$A$2:$A$500,$A32),""))</f>
        <v/>
      </c>
      <c r="T32" s="66">
        <f>IF(S32="","",IFERROR(S32/S5*100,0))</f>
        <v/>
      </c>
      <c r="U32" s="67">
        <f>IF($A32&gt;DATA_CONFIG!$B$4,"",IF(SUMPRODUCT((DATA_TM!$A$2:$A$500=$A32)*1)&gt;0,SUMIFS(DATA_TM!$F$2:$F$500,DATA_TM!$A$2:$A$500,$A32)/60,""))</f>
        <v/>
      </c>
      <c r="V32" s="5">
        <f>IF($A32&gt;DATA_CONFIG!$B$4,"",IFERROR(INDEX(DATA_CONFIG!$B$22:$B$52,MATCH($A32,DATA_CONFIG!$A$22:$A$52,0)),""))</f>
        <v/>
      </c>
    </row>
    <row r="33" ht="13" customHeight="1" s="150">
      <c r="A33" s="3">
        <f>IF(21&gt;DATA_CONFIG!$B$4,"",21)</f>
        <v/>
      </c>
      <c r="B33" s="4">
        <f>IF($A33&gt;DATA_CONFIG!$B$4,"",TEXT(DATE(DATA_CONFIG!$B$3,DATA_CONFIG!$B$2,$A33),"ddd"))</f>
        <v/>
      </c>
      <c r="C33" s="63">
        <f>IF($A33&gt;DATA_CONFIG!$B$4,"",IF(COUNTIFS(DATA_DIARIO!$A$2:$A$500,$A33,DATA_DIARIO!$B$2:$B$500,"Millalemu 1.1")&gt;0,SUMIFS(DATA_DIARIO!$C$2:$C$500,DATA_DIARIO!$A$2:$A$500,$A33,DATA_DIARIO!$B$2:$B$500,"Millalemu 1.1"),""))</f>
        <v/>
      </c>
      <c r="D33" s="64">
        <f>IF($A33&gt;DATA_CONFIG!$B$4,"",IF(COUNTIFS(DATA_DIARIO!$A$2:$A$500,$A33,DATA_DIARIO!$B$2:$B$500,"Millalemu 1.1")&gt;0,SUMIFS(DATA_DIARIO!$D$2:$D$500,DATA_DIARIO!$A$2:$A$500,$A33,DATA_DIARIO!$B$2:$B$500,"Millalemu 1.1"),""))</f>
        <v/>
      </c>
      <c r="E33" s="56">
        <f>IF($A33&gt;DATA_CONFIG!$B$4,"",IF(COUNTIFS(DATA_DIARIO!$A$2:$A$500,$A33,DATA_DIARIO!$B$2:$B$500,"Millalemu 1.2")&gt;0,SUMIFS(DATA_DIARIO!$C$2:$C$500,DATA_DIARIO!$A$2:$A$500,$A33,DATA_DIARIO!$B$2:$B$500,"Millalemu 1.2"),""))</f>
        <v/>
      </c>
      <c r="F33" s="57">
        <f>IF($A33&gt;DATA_CONFIG!$B$4,"",IF(COUNTIFS(DATA_DIARIO!$A$2:$A$500,$A33,DATA_DIARIO!$B$2:$B$500,"Millalemu 1.2")&gt;0,SUMIFS(DATA_DIARIO!$D$2:$D$500,DATA_DIARIO!$A$2:$A$500,$A33,DATA_DIARIO!$B$2:$B$500,"Millalemu 1.2"),""))</f>
        <v/>
      </c>
      <c r="G33" s="63">
        <f>IF($A33&gt;DATA_CONFIG!$B$4,"",IF(COUNTIFS(DATA_DIARIO!$A$2:$A$500,$A33,DATA_DIARIO!$B$2:$B$500,"Millalemu 1.3")&gt;0,SUMIFS(DATA_DIARIO!$C$2:$C$500,DATA_DIARIO!$A$2:$A$500,$A33,DATA_DIARIO!$B$2:$B$500,"Millalemu 1.3"),""))</f>
        <v/>
      </c>
      <c r="H33" s="64">
        <f>IF($A33&gt;DATA_CONFIG!$B$4,"",IF(COUNTIFS(DATA_DIARIO!$A$2:$A$500,$A33,DATA_DIARIO!$B$2:$B$500,"Millalemu 1.3")&gt;0,SUMIFS(DATA_DIARIO!$D$2:$D$500,DATA_DIARIO!$A$2:$A$500,$A33,DATA_DIARIO!$B$2:$B$500,"Millalemu 1.3"),""))</f>
        <v/>
      </c>
      <c r="I33" s="54">
        <f>IF($A33&gt;DATA_CONFIG!$B$4,"",IF(COUNTIFS(DATA_DIARIO!$A$2:$A$500,$A33,DATA_DIARIO!$B$2:$B$500,"Millalemu 1.4")&gt;0,SUMIFS(DATA_DIARIO!$C$2:$C$500,DATA_DIARIO!$A$2:$A$500,$A33,DATA_DIARIO!$B$2:$B$500,"Millalemu 1.4"),""))</f>
        <v/>
      </c>
      <c r="J33" s="55">
        <f>IF($A33&gt;DATA_CONFIG!$B$4,"",IF(COUNTIFS(DATA_DIARIO!$A$2:$A$500,$A33,DATA_DIARIO!$B$2:$B$500,"Millalemu 1.4")&gt;0,SUMIFS(DATA_DIARIO!$D$2:$D$500,DATA_DIARIO!$A$2:$A$500,$A33,DATA_DIARIO!$B$2:$B$500,"Millalemu 1.4"),""))</f>
        <v/>
      </c>
      <c r="K33" s="63">
        <f>IF($A33&gt;DATA_CONFIG!$B$4,"",IF(COUNTIFS(DATA_DIARIO!$A$2:$A$500,$A33,DATA_DIARIO!$B$2:$B$500,"Millalemu 5")&gt;0,SUMIFS(DATA_DIARIO!$C$2:$C$500,DATA_DIARIO!$A$2:$A$500,$A33,DATA_DIARIO!$B$2:$B$500,"Millalemu 5"),""))</f>
        <v/>
      </c>
      <c r="L33" s="64">
        <f>IF($A33&gt;DATA_CONFIG!$B$4,"",IF(COUNTIFS(DATA_DIARIO!$A$2:$A$500,$A33,DATA_DIARIO!$B$2:$B$500,"Millalemu 5")&gt;0,SUMIFS(DATA_DIARIO!$D$2:$D$500,DATA_DIARIO!$A$2:$A$500,$A33,DATA_DIARIO!$B$2:$B$500,"Millalemu 5"),""))</f>
        <v/>
      </c>
      <c r="M33" s="54">
        <f>IF($A33&gt;DATA_CONFIG!$B$4,"",IF(COUNTIFS(DATA_DIARIO!$A$2:$A$500,$A33,DATA_DIARIO!$B$2:$B$500,"Millalemu 7")&gt;0,SUMIFS(DATA_DIARIO!$C$2:$C$500,DATA_DIARIO!$A$2:$A$500,$A33,DATA_DIARIO!$B$2:$B$500,"Millalemu 7"),""))</f>
        <v/>
      </c>
      <c r="N33" s="55">
        <f>IF($A33&gt;DATA_CONFIG!$B$4,"",IF(COUNTIFS(DATA_DIARIO!$A$2:$A$500,$A33,DATA_DIARIO!$B$2:$B$500,"Millalemu 7")&gt;0,SUMIFS(DATA_DIARIO!$D$2:$D$500,DATA_DIARIO!$A$2:$A$500,$A33,DATA_DIARIO!$B$2:$B$500,"Millalemu 7"),""))</f>
        <v/>
      </c>
      <c r="O33" s="63">
        <f>IF($A33&gt;DATA_CONFIG!$B$4,"",IF(COUNTIFS(DATA_DIARIO!$A$2:$A$500,$A33,DATA_DIARIO!$B$2:$B$500,"Millalemu 9")&gt;0,SUMIFS(DATA_DIARIO!$C$2:$C$500,DATA_DIARIO!$A$2:$A$500,$A33,DATA_DIARIO!$B$2:$B$500,"Millalemu 9"),""))</f>
        <v/>
      </c>
      <c r="P33" s="64">
        <f>IF($A33&gt;DATA_CONFIG!$B$4,"",IF(COUNTIFS(DATA_DIARIO!$A$2:$A$500,$A33,DATA_DIARIO!$B$2:$B$500,"Millalemu 9")&gt;0,SUMIFS(DATA_DIARIO!$D$2:$D$500,DATA_DIARIO!$A$2:$A$500,$A33,DATA_DIARIO!$B$2:$B$500,"Millalemu 9"),""))</f>
        <v/>
      </c>
      <c r="Q33" s="54">
        <f>IF($A33&gt;DATA_CONFIG!$B$4,"",IF(COUNTIFS(DATA_DIARIO!$A$2:$A$500,$A33,DATA_DIARIO!$B$2:$B$500,"Millalemu 11")&gt;0,SUMIFS(DATA_DIARIO!$C$2:$C$500,DATA_DIARIO!$A$2:$A$500,$A33,DATA_DIARIO!$B$2:$B$500,"Millalemu 11"),""))</f>
        <v/>
      </c>
      <c r="R33" s="55">
        <f>IF($A33&gt;DATA_CONFIG!$B$4,"",IF(COUNTIFS(DATA_DIARIO!$A$2:$A$500,$A33,DATA_DIARIO!$B$2:$B$500,"Millalemu 11")&gt;0,SUMIFS(DATA_DIARIO!$D$2:$D$500,DATA_DIARIO!$A$2:$A$500,$A33,DATA_DIARIO!$B$2:$B$500,"Millalemu 11"),""))</f>
        <v/>
      </c>
      <c r="S33" s="65">
        <f>IF($A33&gt;DATA_CONFIG!$B$4,"",IF(SUMPRODUCT((DATA_DIARIO!$A$2:$A$500=$A33)*1)&gt;0,SUMIFS(DATA_DIARIO!$C$2:$C$500,DATA_DIARIO!$A$2:$A$500,$A33),""))</f>
        <v/>
      </c>
      <c r="T33" s="66">
        <f>IF(S33="","",IFERROR(S33/S5*100,0))</f>
        <v/>
      </c>
      <c r="U33" s="67">
        <f>IF($A33&gt;DATA_CONFIG!$B$4,"",IF(SUMPRODUCT((DATA_TM!$A$2:$A$500=$A33)*1)&gt;0,SUMIFS(DATA_TM!$F$2:$F$500,DATA_TM!$A$2:$A$500,$A33)/60,""))</f>
        <v/>
      </c>
      <c r="V33" s="5">
        <f>IF($A33&gt;DATA_CONFIG!$B$4,"",IFERROR(INDEX(DATA_CONFIG!$B$22:$B$52,MATCH($A33,DATA_CONFIG!$A$22:$A$52,0)),""))</f>
        <v/>
      </c>
    </row>
    <row r="34" ht="13" customHeight="1" s="150">
      <c r="A34" s="3">
        <f>IF(22&gt;DATA_CONFIG!$B$4,"",22)</f>
        <v/>
      </c>
      <c r="B34" s="4">
        <f>IF($A34&gt;DATA_CONFIG!$B$4,"",TEXT(DATE(DATA_CONFIG!$B$3,DATA_CONFIG!$B$2,$A34),"ddd"))</f>
        <v/>
      </c>
      <c r="C34" s="63">
        <f>IF($A34&gt;DATA_CONFIG!$B$4,"",IF(COUNTIFS(DATA_DIARIO!$A$2:$A$500,$A34,DATA_DIARIO!$B$2:$B$500,"Millalemu 1.1")&gt;0,SUMIFS(DATA_DIARIO!$C$2:$C$500,DATA_DIARIO!$A$2:$A$500,$A34,DATA_DIARIO!$B$2:$B$500,"Millalemu 1.1"),""))</f>
        <v/>
      </c>
      <c r="D34" s="64">
        <f>IF($A34&gt;DATA_CONFIG!$B$4,"",IF(COUNTIFS(DATA_DIARIO!$A$2:$A$500,$A34,DATA_DIARIO!$B$2:$B$500,"Millalemu 1.1")&gt;0,SUMIFS(DATA_DIARIO!$D$2:$D$500,DATA_DIARIO!$A$2:$A$500,$A34,DATA_DIARIO!$B$2:$B$500,"Millalemu 1.1"),""))</f>
        <v/>
      </c>
      <c r="E34" s="56">
        <f>IF($A34&gt;DATA_CONFIG!$B$4,"",IF(COUNTIFS(DATA_DIARIO!$A$2:$A$500,$A34,DATA_DIARIO!$B$2:$B$500,"Millalemu 1.2")&gt;0,SUMIFS(DATA_DIARIO!$C$2:$C$500,DATA_DIARIO!$A$2:$A$500,$A34,DATA_DIARIO!$B$2:$B$500,"Millalemu 1.2"),""))</f>
        <v/>
      </c>
      <c r="F34" s="57">
        <f>IF($A34&gt;DATA_CONFIG!$B$4,"",IF(COUNTIFS(DATA_DIARIO!$A$2:$A$500,$A34,DATA_DIARIO!$B$2:$B$500,"Millalemu 1.2")&gt;0,SUMIFS(DATA_DIARIO!$D$2:$D$500,DATA_DIARIO!$A$2:$A$500,$A34,DATA_DIARIO!$B$2:$B$500,"Millalemu 1.2"),""))</f>
        <v/>
      </c>
      <c r="G34" s="63">
        <f>IF($A34&gt;DATA_CONFIG!$B$4,"",IF(COUNTIFS(DATA_DIARIO!$A$2:$A$500,$A34,DATA_DIARIO!$B$2:$B$500,"Millalemu 1.3")&gt;0,SUMIFS(DATA_DIARIO!$C$2:$C$500,DATA_DIARIO!$A$2:$A$500,$A34,DATA_DIARIO!$B$2:$B$500,"Millalemu 1.3"),""))</f>
        <v/>
      </c>
      <c r="H34" s="64">
        <f>IF($A34&gt;DATA_CONFIG!$B$4,"",IF(COUNTIFS(DATA_DIARIO!$A$2:$A$500,$A34,DATA_DIARIO!$B$2:$B$500,"Millalemu 1.3")&gt;0,SUMIFS(DATA_DIARIO!$D$2:$D$500,DATA_DIARIO!$A$2:$A$500,$A34,DATA_DIARIO!$B$2:$B$500,"Millalemu 1.3"),""))</f>
        <v/>
      </c>
      <c r="I34" s="54">
        <f>IF($A34&gt;DATA_CONFIG!$B$4,"",IF(COUNTIFS(DATA_DIARIO!$A$2:$A$500,$A34,DATA_DIARIO!$B$2:$B$500,"Millalemu 1.4")&gt;0,SUMIFS(DATA_DIARIO!$C$2:$C$500,DATA_DIARIO!$A$2:$A$500,$A34,DATA_DIARIO!$B$2:$B$500,"Millalemu 1.4"),""))</f>
        <v/>
      </c>
      <c r="J34" s="55">
        <f>IF($A34&gt;DATA_CONFIG!$B$4,"",IF(COUNTIFS(DATA_DIARIO!$A$2:$A$500,$A34,DATA_DIARIO!$B$2:$B$500,"Millalemu 1.4")&gt;0,SUMIFS(DATA_DIARIO!$D$2:$D$500,DATA_DIARIO!$A$2:$A$500,$A34,DATA_DIARIO!$B$2:$B$500,"Millalemu 1.4"),""))</f>
        <v/>
      </c>
      <c r="K34" s="63">
        <f>IF($A34&gt;DATA_CONFIG!$B$4,"",IF(COUNTIFS(DATA_DIARIO!$A$2:$A$500,$A34,DATA_DIARIO!$B$2:$B$500,"Millalemu 5")&gt;0,SUMIFS(DATA_DIARIO!$C$2:$C$500,DATA_DIARIO!$A$2:$A$500,$A34,DATA_DIARIO!$B$2:$B$500,"Millalemu 5"),""))</f>
        <v/>
      </c>
      <c r="L34" s="64">
        <f>IF($A34&gt;DATA_CONFIG!$B$4,"",IF(COUNTIFS(DATA_DIARIO!$A$2:$A$500,$A34,DATA_DIARIO!$B$2:$B$500,"Millalemu 5")&gt;0,SUMIFS(DATA_DIARIO!$D$2:$D$500,DATA_DIARIO!$A$2:$A$500,$A34,DATA_DIARIO!$B$2:$B$500,"Millalemu 5"),""))</f>
        <v/>
      </c>
      <c r="M34" s="54">
        <f>IF($A34&gt;DATA_CONFIG!$B$4,"",IF(COUNTIFS(DATA_DIARIO!$A$2:$A$500,$A34,DATA_DIARIO!$B$2:$B$500,"Millalemu 7")&gt;0,SUMIFS(DATA_DIARIO!$C$2:$C$500,DATA_DIARIO!$A$2:$A$500,$A34,DATA_DIARIO!$B$2:$B$500,"Millalemu 7"),""))</f>
        <v/>
      </c>
      <c r="N34" s="55">
        <f>IF($A34&gt;DATA_CONFIG!$B$4,"",IF(COUNTIFS(DATA_DIARIO!$A$2:$A$500,$A34,DATA_DIARIO!$B$2:$B$500,"Millalemu 7")&gt;0,SUMIFS(DATA_DIARIO!$D$2:$D$500,DATA_DIARIO!$A$2:$A$500,$A34,DATA_DIARIO!$B$2:$B$500,"Millalemu 7"),""))</f>
        <v/>
      </c>
      <c r="O34" s="63">
        <f>IF($A34&gt;DATA_CONFIG!$B$4,"",IF(COUNTIFS(DATA_DIARIO!$A$2:$A$500,$A34,DATA_DIARIO!$B$2:$B$500,"Millalemu 9")&gt;0,SUMIFS(DATA_DIARIO!$C$2:$C$500,DATA_DIARIO!$A$2:$A$500,$A34,DATA_DIARIO!$B$2:$B$500,"Millalemu 9"),""))</f>
        <v/>
      </c>
      <c r="P34" s="64">
        <f>IF($A34&gt;DATA_CONFIG!$B$4,"",IF(COUNTIFS(DATA_DIARIO!$A$2:$A$500,$A34,DATA_DIARIO!$B$2:$B$500,"Millalemu 9")&gt;0,SUMIFS(DATA_DIARIO!$D$2:$D$500,DATA_DIARIO!$A$2:$A$500,$A34,DATA_DIARIO!$B$2:$B$500,"Millalemu 9"),""))</f>
        <v/>
      </c>
      <c r="Q34" s="54">
        <f>IF($A34&gt;DATA_CONFIG!$B$4,"",IF(COUNTIFS(DATA_DIARIO!$A$2:$A$500,$A34,DATA_DIARIO!$B$2:$B$500,"Millalemu 11")&gt;0,SUMIFS(DATA_DIARIO!$C$2:$C$500,DATA_DIARIO!$A$2:$A$500,$A34,DATA_DIARIO!$B$2:$B$500,"Millalemu 11"),""))</f>
        <v/>
      </c>
      <c r="R34" s="55">
        <f>IF($A34&gt;DATA_CONFIG!$B$4,"",IF(COUNTIFS(DATA_DIARIO!$A$2:$A$500,$A34,DATA_DIARIO!$B$2:$B$500,"Millalemu 11")&gt;0,SUMIFS(DATA_DIARIO!$D$2:$D$500,DATA_DIARIO!$A$2:$A$500,$A34,DATA_DIARIO!$B$2:$B$500,"Millalemu 11"),""))</f>
        <v/>
      </c>
      <c r="S34" s="65">
        <f>IF($A34&gt;DATA_CONFIG!$B$4,"",IF(SUMPRODUCT((DATA_DIARIO!$A$2:$A$500=$A34)*1)&gt;0,SUMIFS(DATA_DIARIO!$C$2:$C$500,DATA_DIARIO!$A$2:$A$500,$A34),""))</f>
        <v/>
      </c>
      <c r="T34" s="66">
        <f>IF(S34="","",IFERROR(S34/S5*100,0))</f>
        <v/>
      </c>
      <c r="U34" s="67">
        <f>IF($A34&gt;DATA_CONFIG!$B$4,"",IF(SUMPRODUCT((DATA_TM!$A$2:$A$500=$A34)*1)&gt;0,SUMIFS(DATA_TM!$F$2:$F$500,DATA_TM!$A$2:$A$500,$A34)/60,""))</f>
        <v/>
      </c>
      <c r="V34" s="5">
        <f>IF($A34&gt;DATA_CONFIG!$B$4,"",IFERROR(INDEX(DATA_CONFIG!$B$22:$B$52,MATCH($A34,DATA_CONFIG!$A$22:$A$52,0)),""))</f>
        <v/>
      </c>
    </row>
    <row r="35" ht="13" customHeight="1" s="150">
      <c r="A35" s="3">
        <f>IF(23&gt;DATA_CONFIG!$B$4,"",23)</f>
        <v/>
      </c>
      <c r="B35" s="4">
        <f>IF($A35&gt;DATA_CONFIG!$B$4,"",TEXT(DATE(DATA_CONFIG!$B$3,DATA_CONFIG!$B$2,$A35),"ddd"))</f>
        <v/>
      </c>
      <c r="C35" s="63">
        <f>IF($A35&gt;DATA_CONFIG!$B$4,"",IF(COUNTIFS(DATA_DIARIO!$A$2:$A$500,$A35,DATA_DIARIO!$B$2:$B$500,"Millalemu 1.1")&gt;0,SUMIFS(DATA_DIARIO!$C$2:$C$500,DATA_DIARIO!$A$2:$A$500,$A35,DATA_DIARIO!$B$2:$B$500,"Millalemu 1.1"),""))</f>
        <v/>
      </c>
      <c r="D35" s="64">
        <f>IF($A35&gt;DATA_CONFIG!$B$4,"",IF(COUNTIFS(DATA_DIARIO!$A$2:$A$500,$A35,DATA_DIARIO!$B$2:$B$500,"Millalemu 1.1")&gt;0,SUMIFS(DATA_DIARIO!$D$2:$D$500,DATA_DIARIO!$A$2:$A$500,$A35,DATA_DIARIO!$B$2:$B$500,"Millalemu 1.1"),""))</f>
        <v/>
      </c>
      <c r="E35" s="56">
        <f>IF($A35&gt;DATA_CONFIG!$B$4,"",IF(COUNTIFS(DATA_DIARIO!$A$2:$A$500,$A35,DATA_DIARIO!$B$2:$B$500,"Millalemu 1.2")&gt;0,SUMIFS(DATA_DIARIO!$C$2:$C$500,DATA_DIARIO!$A$2:$A$500,$A35,DATA_DIARIO!$B$2:$B$500,"Millalemu 1.2"),""))</f>
        <v/>
      </c>
      <c r="F35" s="57">
        <f>IF($A35&gt;DATA_CONFIG!$B$4,"",IF(COUNTIFS(DATA_DIARIO!$A$2:$A$500,$A35,DATA_DIARIO!$B$2:$B$500,"Millalemu 1.2")&gt;0,SUMIFS(DATA_DIARIO!$D$2:$D$500,DATA_DIARIO!$A$2:$A$500,$A35,DATA_DIARIO!$B$2:$B$500,"Millalemu 1.2"),""))</f>
        <v/>
      </c>
      <c r="G35" s="63">
        <f>IF($A35&gt;DATA_CONFIG!$B$4,"",IF(COUNTIFS(DATA_DIARIO!$A$2:$A$500,$A35,DATA_DIARIO!$B$2:$B$500,"Millalemu 1.3")&gt;0,SUMIFS(DATA_DIARIO!$C$2:$C$500,DATA_DIARIO!$A$2:$A$500,$A35,DATA_DIARIO!$B$2:$B$500,"Millalemu 1.3"),""))</f>
        <v/>
      </c>
      <c r="H35" s="64">
        <f>IF($A35&gt;DATA_CONFIG!$B$4,"",IF(COUNTIFS(DATA_DIARIO!$A$2:$A$500,$A35,DATA_DIARIO!$B$2:$B$500,"Millalemu 1.3")&gt;0,SUMIFS(DATA_DIARIO!$D$2:$D$500,DATA_DIARIO!$A$2:$A$500,$A35,DATA_DIARIO!$B$2:$B$500,"Millalemu 1.3"),""))</f>
        <v/>
      </c>
      <c r="I35" s="54">
        <f>IF($A35&gt;DATA_CONFIG!$B$4,"",IF(COUNTIFS(DATA_DIARIO!$A$2:$A$500,$A35,DATA_DIARIO!$B$2:$B$500,"Millalemu 1.4")&gt;0,SUMIFS(DATA_DIARIO!$C$2:$C$500,DATA_DIARIO!$A$2:$A$500,$A35,DATA_DIARIO!$B$2:$B$500,"Millalemu 1.4"),""))</f>
        <v/>
      </c>
      <c r="J35" s="55">
        <f>IF($A35&gt;DATA_CONFIG!$B$4,"",IF(COUNTIFS(DATA_DIARIO!$A$2:$A$500,$A35,DATA_DIARIO!$B$2:$B$500,"Millalemu 1.4")&gt;0,SUMIFS(DATA_DIARIO!$D$2:$D$500,DATA_DIARIO!$A$2:$A$500,$A35,DATA_DIARIO!$B$2:$B$500,"Millalemu 1.4"),""))</f>
        <v/>
      </c>
      <c r="K35" s="63">
        <f>IF($A35&gt;DATA_CONFIG!$B$4,"",IF(COUNTIFS(DATA_DIARIO!$A$2:$A$500,$A35,DATA_DIARIO!$B$2:$B$500,"Millalemu 5")&gt;0,SUMIFS(DATA_DIARIO!$C$2:$C$500,DATA_DIARIO!$A$2:$A$500,$A35,DATA_DIARIO!$B$2:$B$500,"Millalemu 5"),""))</f>
        <v/>
      </c>
      <c r="L35" s="64">
        <f>IF($A35&gt;DATA_CONFIG!$B$4,"",IF(COUNTIFS(DATA_DIARIO!$A$2:$A$500,$A35,DATA_DIARIO!$B$2:$B$500,"Millalemu 5")&gt;0,SUMIFS(DATA_DIARIO!$D$2:$D$500,DATA_DIARIO!$A$2:$A$500,$A35,DATA_DIARIO!$B$2:$B$500,"Millalemu 5"),""))</f>
        <v/>
      </c>
      <c r="M35" s="54">
        <f>IF($A35&gt;DATA_CONFIG!$B$4,"",IF(COUNTIFS(DATA_DIARIO!$A$2:$A$500,$A35,DATA_DIARIO!$B$2:$B$500,"Millalemu 7")&gt;0,SUMIFS(DATA_DIARIO!$C$2:$C$500,DATA_DIARIO!$A$2:$A$500,$A35,DATA_DIARIO!$B$2:$B$500,"Millalemu 7"),""))</f>
        <v/>
      </c>
      <c r="N35" s="55">
        <f>IF($A35&gt;DATA_CONFIG!$B$4,"",IF(COUNTIFS(DATA_DIARIO!$A$2:$A$500,$A35,DATA_DIARIO!$B$2:$B$500,"Millalemu 7")&gt;0,SUMIFS(DATA_DIARIO!$D$2:$D$500,DATA_DIARIO!$A$2:$A$500,$A35,DATA_DIARIO!$B$2:$B$500,"Millalemu 7"),""))</f>
        <v/>
      </c>
      <c r="O35" s="63">
        <f>IF($A35&gt;DATA_CONFIG!$B$4,"",IF(COUNTIFS(DATA_DIARIO!$A$2:$A$500,$A35,DATA_DIARIO!$B$2:$B$500,"Millalemu 9")&gt;0,SUMIFS(DATA_DIARIO!$C$2:$C$500,DATA_DIARIO!$A$2:$A$500,$A35,DATA_DIARIO!$B$2:$B$500,"Millalemu 9"),""))</f>
        <v/>
      </c>
      <c r="P35" s="64">
        <f>IF($A35&gt;DATA_CONFIG!$B$4,"",IF(COUNTIFS(DATA_DIARIO!$A$2:$A$500,$A35,DATA_DIARIO!$B$2:$B$500,"Millalemu 9")&gt;0,SUMIFS(DATA_DIARIO!$D$2:$D$500,DATA_DIARIO!$A$2:$A$500,$A35,DATA_DIARIO!$B$2:$B$500,"Millalemu 9"),""))</f>
        <v/>
      </c>
      <c r="Q35" s="54">
        <f>IF($A35&gt;DATA_CONFIG!$B$4,"",IF(COUNTIFS(DATA_DIARIO!$A$2:$A$500,$A35,DATA_DIARIO!$B$2:$B$500,"Millalemu 11")&gt;0,SUMIFS(DATA_DIARIO!$C$2:$C$500,DATA_DIARIO!$A$2:$A$500,$A35,DATA_DIARIO!$B$2:$B$500,"Millalemu 11"),""))</f>
        <v/>
      </c>
      <c r="R35" s="55">
        <f>IF($A35&gt;DATA_CONFIG!$B$4,"",IF(COUNTIFS(DATA_DIARIO!$A$2:$A$500,$A35,DATA_DIARIO!$B$2:$B$500,"Millalemu 11")&gt;0,SUMIFS(DATA_DIARIO!$D$2:$D$500,DATA_DIARIO!$A$2:$A$500,$A35,DATA_DIARIO!$B$2:$B$500,"Millalemu 11"),""))</f>
        <v/>
      </c>
      <c r="S35" s="65">
        <f>IF($A35&gt;DATA_CONFIG!$B$4,"",IF(SUMPRODUCT((DATA_DIARIO!$A$2:$A$500=$A35)*1)&gt;0,SUMIFS(DATA_DIARIO!$C$2:$C$500,DATA_DIARIO!$A$2:$A$500,$A35),""))</f>
        <v/>
      </c>
      <c r="T35" s="66">
        <f>IF(S35="","",IFERROR(S35/S5*100,0))</f>
        <v/>
      </c>
      <c r="U35" s="67">
        <f>IF($A35&gt;DATA_CONFIG!$B$4,"",IF(SUMPRODUCT((DATA_TM!$A$2:$A$500=$A35)*1)&gt;0,SUMIFS(DATA_TM!$F$2:$F$500,DATA_TM!$A$2:$A$500,$A35)/60,""))</f>
        <v/>
      </c>
      <c r="V35" s="5">
        <f>IF($A35&gt;DATA_CONFIG!$B$4,"",IFERROR(INDEX(DATA_CONFIG!$B$22:$B$52,MATCH($A35,DATA_CONFIG!$A$22:$A$52,0)),""))</f>
        <v/>
      </c>
    </row>
    <row r="36" ht="13" customHeight="1" s="150">
      <c r="A36" s="3">
        <f>IF(24&gt;DATA_CONFIG!$B$4,"",24)</f>
        <v/>
      </c>
      <c r="B36" s="4">
        <f>IF($A36&gt;DATA_CONFIG!$B$4,"",TEXT(DATE(DATA_CONFIG!$B$3,DATA_CONFIG!$B$2,$A36),"ddd"))</f>
        <v/>
      </c>
      <c r="C36" s="63">
        <f>IF($A36&gt;DATA_CONFIG!$B$4,"",IF(COUNTIFS(DATA_DIARIO!$A$2:$A$500,$A36,DATA_DIARIO!$B$2:$B$500,"Millalemu 1.1")&gt;0,SUMIFS(DATA_DIARIO!$C$2:$C$500,DATA_DIARIO!$A$2:$A$500,$A36,DATA_DIARIO!$B$2:$B$500,"Millalemu 1.1"),""))</f>
        <v/>
      </c>
      <c r="D36" s="64">
        <f>IF($A36&gt;DATA_CONFIG!$B$4,"",IF(COUNTIFS(DATA_DIARIO!$A$2:$A$500,$A36,DATA_DIARIO!$B$2:$B$500,"Millalemu 1.1")&gt;0,SUMIFS(DATA_DIARIO!$D$2:$D$500,DATA_DIARIO!$A$2:$A$500,$A36,DATA_DIARIO!$B$2:$B$500,"Millalemu 1.1"),""))</f>
        <v/>
      </c>
      <c r="E36" s="56">
        <f>IF($A36&gt;DATA_CONFIG!$B$4,"",IF(COUNTIFS(DATA_DIARIO!$A$2:$A$500,$A36,DATA_DIARIO!$B$2:$B$500,"Millalemu 1.2")&gt;0,SUMIFS(DATA_DIARIO!$C$2:$C$500,DATA_DIARIO!$A$2:$A$500,$A36,DATA_DIARIO!$B$2:$B$500,"Millalemu 1.2"),""))</f>
        <v/>
      </c>
      <c r="F36" s="57">
        <f>IF($A36&gt;DATA_CONFIG!$B$4,"",IF(COUNTIFS(DATA_DIARIO!$A$2:$A$500,$A36,DATA_DIARIO!$B$2:$B$500,"Millalemu 1.2")&gt;0,SUMIFS(DATA_DIARIO!$D$2:$D$500,DATA_DIARIO!$A$2:$A$500,$A36,DATA_DIARIO!$B$2:$B$500,"Millalemu 1.2"),""))</f>
        <v/>
      </c>
      <c r="G36" s="63">
        <f>IF($A36&gt;DATA_CONFIG!$B$4,"",IF(COUNTIFS(DATA_DIARIO!$A$2:$A$500,$A36,DATA_DIARIO!$B$2:$B$500,"Millalemu 1.3")&gt;0,SUMIFS(DATA_DIARIO!$C$2:$C$500,DATA_DIARIO!$A$2:$A$500,$A36,DATA_DIARIO!$B$2:$B$500,"Millalemu 1.3"),""))</f>
        <v/>
      </c>
      <c r="H36" s="64">
        <f>IF($A36&gt;DATA_CONFIG!$B$4,"",IF(COUNTIFS(DATA_DIARIO!$A$2:$A$500,$A36,DATA_DIARIO!$B$2:$B$500,"Millalemu 1.3")&gt;0,SUMIFS(DATA_DIARIO!$D$2:$D$500,DATA_DIARIO!$A$2:$A$500,$A36,DATA_DIARIO!$B$2:$B$500,"Millalemu 1.3"),""))</f>
        <v/>
      </c>
      <c r="I36" s="54">
        <f>IF($A36&gt;DATA_CONFIG!$B$4,"",IF(COUNTIFS(DATA_DIARIO!$A$2:$A$500,$A36,DATA_DIARIO!$B$2:$B$500,"Millalemu 1.4")&gt;0,SUMIFS(DATA_DIARIO!$C$2:$C$500,DATA_DIARIO!$A$2:$A$500,$A36,DATA_DIARIO!$B$2:$B$500,"Millalemu 1.4"),""))</f>
        <v/>
      </c>
      <c r="J36" s="55">
        <f>IF($A36&gt;DATA_CONFIG!$B$4,"",IF(COUNTIFS(DATA_DIARIO!$A$2:$A$500,$A36,DATA_DIARIO!$B$2:$B$500,"Millalemu 1.4")&gt;0,SUMIFS(DATA_DIARIO!$D$2:$D$500,DATA_DIARIO!$A$2:$A$500,$A36,DATA_DIARIO!$B$2:$B$500,"Millalemu 1.4"),""))</f>
        <v/>
      </c>
      <c r="K36" s="63">
        <f>IF($A36&gt;DATA_CONFIG!$B$4,"",IF(COUNTIFS(DATA_DIARIO!$A$2:$A$500,$A36,DATA_DIARIO!$B$2:$B$500,"Millalemu 5")&gt;0,SUMIFS(DATA_DIARIO!$C$2:$C$500,DATA_DIARIO!$A$2:$A$500,$A36,DATA_DIARIO!$B$2:$B$500,"Millalemu 5"),""))</f>
        <v/>
      </c>
      <c r="L36" s="64">
        <f>IF($A36&gt;DATA_CONFIG!$B$4,"",IF(COUNTIFS(DATA_DIARIO!$A$2:$A$500,$A36,DATA_DIARIO!$B$2:$B$500,"Millalemu 5")&gt;0,SUMIFS(DATA_DIARIO!$D$2:$D$500,DATA_DIARIO!$A$2:$A$500,$A36,DATA_DIARIO!$B$2:$B$500,"Millalemu 5"),""))</f>
        <v/>
      </c>
      <c r="M36" s="54">
        <f>IF($A36&gt;DATA_CONFIG!$B$4,"",IF(COUNTIFS(DATA_DIARIO!$A$2:$A$500,$A36,DATA_DIARIO!$B$2:$B$500,"Millalemu 7")&gt;0,SUMIFS(DATA_DIARIO!$C$2:$C$500,DATA_DIARIO!$A$2:$A$500,$A36,DATA_DIARIO!$B$2:$B$500,"Millalemu 7"),""))</f>
        <v/>
      </c>
      <c r="N36" s="55">
        <f>IF($A36&gt;DATA_CONFIG!$B$4,"",IF(COUNTIFS(DATA_DIARIO!$A$2:$A$500,$A36,DATA_DIARIO!$B$2:$B$500,"Millalemu 7")&gt;0,SUMIFS(DATA_DIARIO!$D$2:$D$500,DATA_DIARIO!$A$2:$A$500,$A36,DATA_DIARIO!$B$2:$B$500,"Millalemu 7"),""))</f>
        <v/>
      </c>
      <c r="O36" s="63">
        <f>IF($A36&gt;DATA_CONFIG!$B$4,"",IF(COUNTIFS(DATA_DIARIO!$A$2:$A$500,$A36,DATA_DIARIO!$B$2:$B$500,"Millalemu 9")&gt;0,SUMIFS(DATA_DIARIO!$C$2:$C$500,DATA_DIARIO!$A$2:$A$500,$A36,DATA_DIARIO!$B$2:$B$500,"Millalemu 9"),""))</f>
        <v/>
      </c>
      <c r="P36" s="64">
        <f>IF($A36&gt;DATA_CONFIG!$B$4,"",IF(COUNTIFS(DATA_DIARIO!$A$2:$A$500,$A36,DATA_DIARIO!$B$2:$B$500,"Millalemu 9")&gt;0,SUMIFS(DATA_DIARIO!$D$2:$D$500,DATA_DIARIO!$A$2:$A$500,$A36,DATA_DIARIO!$B$2:$B$500,"Millalemu 9"),""))</f>
        <v/>
      </c>
      <c r="Q36" s="54">
        <f>IF($A36&gt;DATA_CONFIG!$B$4,"",IF(COUNTIFS(DATA_DIARIO!$A$2:$A$500,$A36,DATA_DIARIO!$B$2:$B$500,"Millalemu 11")&gt;0,SUMIFS(DATA_DIARIO!$C$2:$C$500,DATA_DIARIO!$A$2:$A$500,$A36,DATA_DIARIO!$B$2:$B$500,"Millalemu 11"),""))</f>
        <v/>
      </c>
      <c r="R36" s="55">
        <f>IF($A36&gt;DATA_CONFIG!$B$4,"",IF(COUNTIFS(DATA_DIARIO!$A$2:$A$500,$A36,DATA_DIARIO!$B$2:$B$500,"Millalemu 11")&gt;0,SUMIFS(DATA_DIARIO!$D$2:$D$500,DATA_DIARIO!$A$2:$A$500,$A36,DATA_DIARIO!$B$2:$B$500,"Millalemu 11"),""))</f>
        <v/>
      </c>
      <c r="S36" s="65">
        <f>IF($A36&gt;DATA_CONFIG!$B$4,"",IF(SUMPRODUCT((DATA_DIARIO!$A$2:$A$500=$A36)*1)&gt;0,SUMIFS(DATA_DIARIO!$C$2:$C$500,DATA_DIARIO!$A$2:$A$500,$A36),""))</f>
        <v/>
      </c>
      <c r="T36" s="66">
        <f>IF(S36="","",IFERROR(S36/S5*100,0))</f>
        <v/>
      </c>
      <c r="U36" s="67">
        <f>IF($A36&gt;DATA_CONFIG!$B$4,"",IF(SUMPRODUCT((DATA_TM!$A$2:$A$500=$A36)*1)&gt;0,SUMIFS(DATA_TM!$F$2:$F$500,DATA_TM!$A$2:$A$500,$A36)/60,""))</f>
        <v/>
      </c>
      <c r="V36" s="5">
        <f>IF($A36&gt;DATA_CONFIG!$B$4,"",IFERROR(INDEX(DATA_CONFIG!$B$22:$B$52,MATCH($A36,DATA_CONFIG!$A$22:$A$52,0)),""))</f>
        <v/>
      </c>
    </row>
    <row r="37" ht="13" customHeight="1" s="150">
      <c r="A37" s="3">
        <f>IF(25&gt;DATA_CONFIG!$B$4,"",25)</f>
        <v/>
      </c>
      <c r="B37" s="4">
        <f>IF($A37&gt;DATA_CONFIG!$B$4,"",TEXT(DATE(DATA_CONFIG!$B$3,DATA_CONFIG!$B$2,$A37),"ddd"))</f>
        <v/>
      </c>
      <c r="C37" s="63">
        <f>IF($A37&gt;DATA_CONFIG!$B$4,"",IF(COUNTIFS(DATA_DIARIO!$A$2:$A$500,$A37,DATA_DIARIO!$B$2:$B$500,"Millalemu 1.1")&gt;0,SUMIFS(DATA_DIARIO!$C$2:$C$500,DATA_DIARIO!$A$2:$A$500,$A37,DATA_DIARIO!$B$2:$B$500,"Millalemu 1.1"),""))</f>
        <v/>
      </c>
      <c r="D37" s="64">
        <f>IF($A37&gt;DATA_CONFIG!$B$4,"",IF(COUNTIFS(DATA_DIARIO!$A$2:$A$500,$A37,DATA_DIARIO!$B$2:$B$500,"Millalemu 1.1")&gt;0,SUMIFS(DATA_DIARIO!$D$2:$D$500,DATA_DIARIO!$A$2:$A$500,$A37,DATA_DIARIO!$B$2:$B$500,"Millalemu 1.1"),""))</f>
        <v/>
      </c>
      <c r="E37" s="56">
        <f>IF($A37&gt;DATA_CONFIG!$B$4,"",IF(COUNTIFS(DATA_DIARIO!$A$2:$A$500,$A37,DATA_DIARIO!$B$2:$B$500,"Millalemu 1.2")&gt;0,SUMIFS(DATA_DIARIO!$C$2:$C$500,DATA_DIARIO!$A$2:$A$500,$A37,DATA_DIARIO!$B$2:$B$500,"Millalemu 1.2"),""))</f>
        <v/>
      </c>
      <c r="F37" s="57">
        <f>IF($A37&gt;DATA_CONFIG!$B$4,"",IF(COUNTIFS(DATA_DIARIO!$A$2:$A$500,$A37,DATA_DIARIO!$B$2:$B$500,"Millalemu 1.2")&gt;0,SUMIFS(DATA_DIARIO!$D$2:$D$500,DATA_DIARIO!$A$2:$A$500,$A37,DATA_DIARIO!$B$2:$B$500,"Millalemu 1.2"),""))</f>
        <v/>
      </c>
      <c r="G37" s="63">
        <f>IF($A37&gt;DATA_CONFIG!$B$4,"",IF(COUNTIFS(DATA_DIARIO!$A$2:$A$500,$A37,DATA_DIARIO!$B$2:$B$500,"Millalemu 1.3")&gt;0,SUMIFS(DATA_DIARIO!$C$2:$C$500,DATA_DIARIO!$A$2:$A$500,$A37,DATA_DIARIO!$B$2:$B$500,"Millalemu 1.3"),""))</f>
        <v/>
      </c>
      <c r="H37" s="64">
        <f>IF($A37&gt;DATA_CONFIG!$B$4,"",IF(COUNTIFS(DATA_DIARIO!$A$2:$A$500,$A37,DATA_DIARIO!$B$2:$B$500,"Millalemu 1.3")&gt;0,SUMIFS(DATA_DIARIO!$D$2:$D$500,DATA_DIARIO!$A$2:$A$500,$A37,DATA_DIARIO!$B$2:$B$500,"Millalemu 1.3"),""))</f>
        <v/>
      </c>
      <c r="I37" s="54">
        <f>IF($A37&gt;DATA_CONFIG!$B$4,"",IF(COUNTIFS(DATA_DIARIO!$A$2:$A$500,$A37,DATA_DIARIO!$B$2:$B$500,"Millalemu 1.4")&gt;0,SUMIFS(DATA_DIARIO!$C$2:$C$500,DATA_DIARIO!$A$2:$A$500,$A37,DATA_DIARIO!$B$2:$B$500,"Millalemu 1.4"),""))</f>
        <v/>
      </c>
      <c r="J37" s="55">
        <f>IF($A37&gt;DATA_CONFIG!$B$4,"",IF(COUNTIFS(DATA_DIARIO!$A$2:$A$500,$A37,DATA_DIARIO!$B$2:$B$500,"Millalemu 1.4")&gt;0,SUMIFS(DATA_DIARIO!$D$2:$D$500,DATA_DIARIO!$A$2:$A$500,$A37,DATA_DIARIO!$B$2:$B$500,"Millalemu 1.4"),""))</f>
        <v/>
      </c>
      <c r="K37" s="63">
        <f>IF($A37&gt;DATA_CONFIG!$B$4,"",IF(COUNTIFS(DATA_DIARIO!$A$2:$A$500,$A37,DATA_DIARIO!$B$2:$B$500,"Millalemu 5")&gt;0,SUMIFS(DATA_DIARIO!$C$2:$C$500,DATA_DIARIO!$A$2:$A$500,$A37,DATA_DIARIO!$B$2:$B$500,"Millalemu 5"),""))</f>
        <v/>
      </c>
      <c r="L37" s="64">
        <f>IF($A37&gt;DATA_CONFIG!$B$4,"",IF(COUNTIFS(DATA_DIARIO!$A$2:$A$500,$A37,DATA_DIARIO!$B$2:$B$500,"Millalemu 5")&gt;0,SUMIFS(DATA_DIARIO!$D$2:$D$500,DATA_DIARIO!$A$2:$A$500,$A37,DATA_DIARIO!$B$2:$B$500,"Millalemu 5"),""))</f>
        <v/>
      </c>
      <c r="M37" s="54">
        <f>IF($A37&gt;DATA_CONFIG!$B$4,"",IF(COUNTIFS(DATA_DIARIO!$A$2:$A$500,$A37,DATA_DIARIO!$B$2:$B$500,"Millalemu 7")&gt;0,SUMIFS(DATA_DIARIO!$C$2:$C$500,DATA_DIARIO!$A$2:$A$500,$A37,DATA_DIARIO!$B$2:$B$500,"Millalemu 7"),""))</f>
        <v/>
      </c>
      <c r="N37" s="55">
        <f>IF($A37&gt;DATA_CONFIG!$B$4,"",IF(COUNTIFS(DATA_DIARIO!$A$2:$A$500,$A37,DATA_DIARIO!$B$2:$B$500,"Millalemu 7")&gt;0,SUMIFS(DATA_DIARIO!$D$2:$D$500,DATA_DIARIO!$A$2:$A$500,$A37,DATA_DIARIO!$B$2:$B$500,"Millalemu 7"),""))</f>
        <v/>
      </c>
      <c r="O37" s="63">
        <f>IF($A37&gt;DATA_CONFIG!$B$4,"",IF(COUNTIFS(DATA_DIARIO!$A$2:$A$500,$A37,DATA_DIARIO!$B$2:$B$500,"Millalemu 9")&gt;0,SUMIFS(DATA_DIARIO!$C$2:$C$500,DATA_DIARIO!$A$2:$A$500,$A37,DATA_DIARIO!$B$2:$B$500,"Millalemu 9"),""))</f>
        <v/>
      </c>
      <c r="P37" s="64">
        <f>IF($A37&gt;DATA_CONFIG!$B$4,"",IF(COUNTIFS(DATA_DIARIO!$A$2:$A$500,$A37,DATA_DIARIO!$B$2:$B$500,"Millalemu 9")&gt;0,SUMIFS(DATA_DIARIO!$D$2:$D$500,DATA_DIARIO!$A$2:$A$500,$A37,DATA_DIARIO!$B$2:$B$500,"Millalemu 9"),""))</f>
        <v/>
      </c>
      <c r="Q37" s="54">
        <f>IF($A37&gt;DATA_CONFIG!$B$4,"",IF(COUNTIFS(DATA_DIARIO!$A$2:$A$500,$A37,DATA_DIARIO!$B$2:$B$500,"Millalemu 11")&gt;0,SUMIFS(DATA_DIARIO!$C$2:$C$500,DATA_DIARIO!$A$2:$A$500,$A37,DATA_DIARIO!$B$2:$B$500,"Millalemu 11"),""))</f>
        <v/>
      </c>
      <c r="R37" s="55">
        <f>IF($A37&gt;DATA_CONFIG!$B$4,"",IF(COUNTIFS(DATA_DIARIO!$A$2:$A$500,$A37,DATA_DIARIO!$B$2:$B$500,"Millalemu 11")&gt;0,SUMIFS(DATA_DIARIO!$D$2:$D$500,DATA_DIARIO!$A$2:$A$500,$A37,DATA_DIARIO!$B$2:$B$500,"Millalemu 11"),""))</f>
        <v/>
      </c>
      <c r="S37" s="65">
        <f>IF($A37&gt;DATA_CONFIG!$B$4,"",IF(SUMPRODUCT((DATA_DIARIO!$A$2:$A$500=$A37)*1)&gt;0,SUMIFS(DATA_DIARIO!$C$2:$C$500,DATA_DIARIO!$A$2:$A$500,$A37),""))</f>
        <v/>
      </c>
      <c r="T37" s="66">
        <f>IF(S37="","",IFERROR(S37/S5*100,0))</f>
        <v/>
      </c>
      <c r="U37" s="67">
        <f>IF($A37&gt;DATA_CONFIG!$B$4,"",IF(SUMPRODUCT((DATA_TM!$A$2:$A$500=$A37)*1)&gt;0,SUMIFS(DATA_TM!$F$2:$F$500,DATA_TM!$A$2:$A$500,$A37)/60,""))</f>
        <v/>
      </c>
      <c r="V37" s="5">
        <f>IF($A37&gt;DATA_CONFIG!$B$4,"",IFERROR(INDEX(DATA_CONFIG!$B$22:$B$52,MATCH($A37,DATA_CONFIG!$A$22:$A$52,0)),""))</f>
        <v/>
      </c>
    </row>
    <row r="38" ht="13" customHeight="1" s="150">
      <c r="A38" s="3">
        <f>IF(26&gt;DATA_CONFIG!$B$4,"",26)</f>
        <v/>
      </c>
      <c r="B38" s="4">
        <f>IF($A38&gt;DATA_CONFIG!$B$4,"",TEXT(DATE(DATA_CONFIG!$B$3,DATA_CONFIG!$B$2,$A38),"ddd"))</f>
        <v/>
      </c>
      <c r="C38" s="63">
        <f>IF($A38&gt;DATA_CONFIG!$B$4,"",IF(COUNTIFS(DATA_DIARIO!$A$2:$A$500,$A38,DATA_DIARIO!$B$2:$B$500,"Millalemu 1.1")&gt;0,SUMIFS(DATA_DIARIO!$C$2:$C$500,DATA_DIARIO!$A$2:$A$500,$A38,DATA_DIARIO!$B$2:$B$500,"Millalemu 1.1"),""))</f>
        <v/>
      </c>
      <c r="D38" s="64">
        <f>IF($A38&gt;DATA_CONFIG!$B$4,"",IF(COUNTIFS(DATA_DIARIO!$A$2:$A$500,$A38,DATA_DIARIO!$B$2:$B$500,"Millalemu 1.1")&gt;0,SUMIFS(DATA_DIARIO!$D$2:$D$500,DATA_DIARIO!$A$2:$A$500,$A38,DATA_DIARIO!$B$2:$B$500,"Millalemu 1.1"),""))</f>
        <v/>
      </c>
      <c r="E38" s="56">
        <f>IF($A38&gt;DATA_CONFIG!$B$4,"",IF(COUNTIFS(DATA_DIARIO!$A$2:$A$500,$A38,DATA_DIARIO!$B$2:$B$500,"Millalemu 1.2")&gt;0,SUMIFS(DATA_DIARIO!$C$2:$C$500,DATA_DIARIO!$A$2:$A$500,$A38,DATA_DIARIO!$B$2:$B$500,"Millalemu 1.2"),""))</f>
        <v/>
      </c>
      <c r="F38" s="57">
        <f>IF($A38&gt;DATA_CONFIG!$B$4,"",IF(COUNTIFS(DATA_DIARIO!$A$2:$A$500,$A38,DATA_DIARIO!$B$2:$B$500,"Millalemu 1.2")&gt;0,SUMIFS(DATA_DIARIO!$D$2:$D$500,DATA_DIARIO!$A$2:$A$500,$A38,DATA_DIARIO!$B$2:$B$500,"Millalemu 1.2"),""))</f>
        <v/>
      </c>
      <c r="G38" s="63">
        <f>IF($A38&gt;DATA_CONFIG!$B$4,"",IF(COUNTIFS(DATA_DIARIO!$A$2:$A$500,$A38,DATA_DIARIO!$B$2:$B$500,"Millalemu 1.3")&gt;0,SUMIFS(DATA_DIARIO!$C$2:$C$500,DATA_DIARIO!$A$2:$A$500,$A38,DATA_DIARIO!$B$2:$B$500,"Millalemu 1.3"),""))</f>
        <v/>
      </c>
      <c r="H38" s="64">
        <f>IF($A38&gt;DATA_CONFIG!$B$4,"",IF(COUNTIFS(DATA_DIARIO!$A$2:$A$500,$A38,DATA_DIARIO!$B$2:$B$500,"Millalemu 1.3")&gt;0,SUMIFS(DATA_DIARIO!$D$2:$D$500,DATA_DIARIO!$A$2:$A$500,$A38,DATA_DIARIO!$B$2:$B$500,"Millalemu 1.3"),""))</f>
        <v/>
      </c>
      <c r="I38" s="54">
        <f>IF($A38&gt;DATA_CONFIG!$B$4,"",IF(COUNTIFS(DATA_DIARIO!$A$2:$A$500,$A38,DATA_DIARIO!$B$2:$B$500,"Millalemu 1.4")&gt;0,SUMIFS(DATA_DIARIO!$C$2:$C$500,DATA_DIARIO!$A$2:$A$500,$A38,DATA_DIARIO!$B$2:$B$500,"Millalemu 1.4"),""))</f>
        <v/>
      </c>
      <c r="J38" s="55">
        <f>IF($A38&gt;DATA_CONFIG!$B$4,"",IF(COUNTIFS(DATA_DIARIO!$A$2:$A$500,$A38,DATA_DIARIO!$B$2:$B$500,"Millalemu 1.4")&gt;0,SUMIFS(DATA_DIARIO!$D$2:$D$500,DATA_DIARIO!$A$2:$A$500,$A38,DATA_DIARIO!$B$2:$B$500,"Millalemu 1.4"),""))</f>
        <v/>
      </c>
      <c r="K38" s="63">
        <f>IF($A38&gt;DATA_CONFIG!$B$4,"",IF(COUNTIFS(DATA_DIARIO!$A$2:$A$500,$A38,DATA_DIARIO!$B$2:$B$500,"Millalemu 5")&gt;0,SUMIFS(DATA_DIARIO!$C$2:$C$500,DATA_DIARIO!$A$2:$A$500,$A38,DATA_DIARIO!$B$2:$B$500,"Millalemu 5"),""))</f>
        <v/>
      </c>
      <c r="L38" s="64">
        <f>IF($A38&gt;DATA_CONFIG!$B$4,"",IF(COUNTIFS(DATA_DIARIO!$A$2:$A$500,$A38,DATA_DIARIO!$B$2:$B$500,"Millalemu 5")&gt;0,SUMIFS(DATA_DIARIO!$D$2:$D$500,DATA_DIARIO!$A$2:$A$500,$A38,DATA_DIARIO!$B$2:$B$500,"Millalemu 5"),""))</f>
        <v/>
      </c>
      <c r="M38" s="54">
        <f>IF($A38&gt;DATA_CONFIG!$B$4,"",IF(COUNTIFS(DATA_DIARIO!$A$2:$A$500,$A38,DATA_DIARIO!$B$2:$B$500,"Millalemu 7")&gt;0,SUMIFS(DATA_DIARIO!$C$2:$C$500,DATA_DIARIO!$A$2:$A$500,$A38,DATA_DIARIO!$B$2:$B$500,"Millalemu 7"),""))</f>
        <v/>
      </c>
      <c r="N38" s="55">
        <f>IF($A38&gt;DATA_CONFIG!$B$4,"",IF(COUNTIFS(DATA_DIARIO!$A$2:$A$500,$A38,DATA_DIARIO!$B$2:$B$500,"Millalemu 7")&gt;0,SUMIFS(DATA_DIARIO!$D$2:$D$500,DATA_DIARIO!$A$2:$A$500,$A38,DATA_DIARIO!$B$2:$B$500,"Millalemu 7"),""))</f>
        <v/>
      </c>
      <c r="O38" s="63">
        <f>IF($A38&gt;DATA_CONFIG!$B$4,"",IF(COUNTIFS(DATA_DIARIO!$A$2:$A$500,$A38,DATA_DIARIO!$B$2:$B$500,"Millalemu 9")&gt;0,SUMIFS(DATA_DIARIO!$C$2:$C$500,DATA_DIARIO!$A$2:$A$500,$A38,DATA_DIARIO!$B$2:$B$500,"Millalemu 9"),""))</f>
        <v/>
      </c>
      <c r="P38" s="64">
        <f>IF($A38&gt;DATA_CONFIG!$B$4,"",IF(COUNTIFS(DATA_DIARIO!$A$2:$A$500,$A38,DATA_DIARIO!$B$2:$B$500,"Millalemu 9")&gt;0,SUMIFS(DATA_DIARIO!$D$2:$D$500,DATA_DIARIO!$A$2:$A$500,$A38,DATA_DIARIO!$B$2:$B$500,"Millalemu 9"),""))</f>
        <v/>
      </c>
      <c r="Q38" s="54">
        <f>IF($A38&gt;DATA_CONFIG!$B$4,"",IF(COUNTIFS(DATA_DIARIO!$A$2:$A$500,$A38,DATA_DIARIO!$B$2:$B$500,"Millalemu 11")&gt;0,SUMIFS(DATA_DIARIO!$C$2:$C$500,DATA_DIARIO!$A$2:$A$500,$A38,DATA_DIARIO!$B$2:$B$500,"Millalemu 11"),""))</f>
        <v/>
      </c>
      <c r="R38" s="55">
        <f>IF($A38&gt;DATA_CONFIG!$B$4,"",IF(COUNTIFS(DATA_DIARIO!$A$2:$A$500,$A38,DATA_DIARIO!$B$2:$B$500,"Millalemu 11")&gt;0,SUMIFS(DATA_DIARIO!$D$2:$D$500,DATA_DIARIO!$A$2:$A$500,$A38,DATA_DIARIO!$B$2:$B$500,"Millalemu 11"),""))</f>
        <v/>
      </c>
      <c r="S38" s="65">
        <f>IF($A38&gt;DATA_CONFIG!$B$4,"",IF(SUMPRODUCT((DATA_DIARIO!$A$2:$A$500=$A38)*1)&gt;0,SUMIFS(DATA_DIARIO!$C$2:$C$500,DATA_DIARIO!$A$2:$A$500,$A38),""))</f>
        <v/>
      </c>
      <c r="T38" s="66">
        <f>IF(S38="","",IFERROR(S38/S5*100,0))</f>
        <v/>
      </c>
      <c r="U38" s="67">
        <f>IF($A38&gt;DATA_CONFIG!$B$4,"",IF(SUMPRODUCT((DATA_TM!$A$2:$A$500=$A38)*1)&gt;0,SUMIFS(DATA_TM!$F$2:$F$500,DATA_TM!$A$2:$A$500,$A38)/60,""))</f>
        <v/>
      </c>
      <c r="V38" s="5">
        <f>IF($A38&gt;DATA_CONFIG!$B$4,"",IFERROR(INDEX(DATA_CONFIG!$B$22:$B$52,MATCH($A38,DATA_CONFIG!$A$22:$A$52,0)),""))</f>
        <v/>
      </c>
    </row>
    <row r="39" ht="13" customHeight="1" s="150">
      <c r="A39" s="3">
        <f>IF(27&gt;DATA_CONFIG!$B$4,"",27)</f>
        <v/>
      </c>
      <c r="B39" s="4">
        <f>IF($A39&gt;DATA_CONFIG!$B$4,"",TEXT(DATE(DATA_CONFIG!$B$3,DATA_CONFIG!$B$2,$A39),"ddd"))</f>
        <v/>
      </c>
      <c r="C39" s="63">
        <f>IF($A39&gt;DATA_CONFIG!$B$4,"",IF(COUNTIFS(DATA_DIARIO!$A$2:$A$500,$A39,DATA_DIARIO!$B$2:$B$500,"Millalemu 1.1")&gt;0,SUMIFS(DATA_DIARIO!$C$2:$C$500,DATA_DIARIO!$A$2:$A$500,$A39,DATA_DIARIO!$B$2:$B$500,"Millalemu 1.1"),""))</f>
        <v/>
      </c>
      <c r="D39" s="64">
        <f>IF($A39&gt;DATA_CONFIG!$B$4,"",IF(COUNTIFS(DATA_DIARIO!$A$2:$A$500,$A39,DATA_DIARIO!$B$2:$B$500,"Millalemu 1.1")&gt;0,SUMIFS(DATA_DIARIO!$D$2:$D$500,DATA_DIARIO!$A$2:$A$500,$A39,DATA_DIARIO!$B$2:$B$500,"Millalemu 1.1"),""))</f>
        <v/>
      </c>
      <c r="E39" s="56">
        <f>IF($A39&gt;DATA_CONFIG!$B$4,"",IF(COUNTIFS(DATA_DIARIO!$A$2:$A$500,$A39,DATA_DIARIO!$B$2:$B$500,"Millalemu 1.2")&gt;0,SUMIFS(DATA_DIARIO!$C$2:$C$500,DATA_DIARIO!$A$2:$A$500,$A39,DATA_DIARIO!$B$2:$B$500,"Millalemu 1.2"),""))</f>
        <v/>
      </c>
      <c r="F39" s="57">
        <f>IF($A39&gt;DATA_CONFIG!$B$4,"",IF(COUNTIFS(DATA_DIARIO!$A$2:$A$500,$A39,DATA_DIARIO!$B$2:$B$500,"Millalemu 1.2")&gt;0,SUMIFS(DATA_DIARIO!$D$2:$D$500,DATA_DIARIO!$A$2:$A$500,$A39,DATA_DIARIO!$B$2:$B$500,"Millalemu 1.2"),""))</f>
        <v/>
      </c>
      <c r="G39" s="63">
        <f>IF($A39&gt;DATA_CONFIG!$B$4,"",IF(COUNTIFS(DATA_DIARIO!$A$2:$A$500,$A39,DATA_DIARIO!$B$2:$B$500,"Millalemu 1.3")&gt;0,SUMIFS(DATA_DIARIO!$C$2:$C$500,DATA_DIARIO!$A$2:$A$500,$A39,DATA_DIARIO!$B$2:$B$500,"Millalemu 1.3"),""))</f>
        <v/>
      </c>
      <c r="H39" s="64">
        <f>IF($A39&gt;DATA_CONFIG!$B$4,"",IF(COUNTIFS(DATA_DIARIO!$A$2:$A$500,$A39,DATA_DIARIO!$B$2:$B$500,"Millalemu 1.3")&gt;0,SUMIFS(DATA_DIARIO!$D$2:$D$500,DATA_DIARIO!$A$2:$A$500,$A39,DATA_DIARIO!$B$2:$B$500,"Millalemu 1.3"),""))</f>
        <v/>
      </c>
      <c r="I39" s="54">
        <f>IF($A39&gt;DATA_CONFIG!$B$4,"",IF(COUNTIFS(DATA_DIARIO!$A$2:$A$500,$A39,DATA_DIARIO!$B$2:$B$500,"Millalemu 1.4")&gt;0,SUMIFS(DATA_DIARIO!$C$2:$C$500,DATA_DIARIO!$A$2:$A$500,$A39,DATA_DIARIO!$B$2:$B$500,"Millalemu 1.4"),""))</f>
        <v/>
      </c>
      <c r="J39" s="55">
        <f>IF($A39&gt;DATA_CONFIG!$B$4,"",IF(COUNTIFS(DATA_DIARIO!$A$2:$A$500,$A39,DATA_DIARIO!$B$2:$B$500,"Millalemu 1.4")&gt;0,SUMIFS(DATA_DIARIO!$D$2:$D$500,DATA_DIARIO!$A$2:$A$500,$A39,DATA_DIARIO!$B$2:$B$500,"Millalemu 1.4"),""))</f>
        <v/>
      </c>
      <c r="K39" s="63">
        <f>IF($A39&gt;DATA_CONFIG!$B$4,"",IF(COUNTIFS(DATA_DIARIO!$A$2:$A$500,$A39,DATA_DIARIO!$B$2:$B$500,"Millalemu 5")&gt;0,SUMIFS(DATA_DIARIO!$C$2:$C$500,DATA_DIARIO!$A$2:$A$500,$A39,DATA_DIARIO!$B$2:$B$500,"Millalemu 5"),""))</f>
        <v/>
      </c>
      <c r="L39" s="64">
        <f>IF($A39&gt;DATA_CONFIG!$B$4,"",IF(COUNTIFS(DATA_DIARIO!$A$2:$A$500,$A39,DATA_DIARIO!$B$2:$B$500,"Millalemu 5")&gt;0,SUMIFS(DATA_DIARIO!$D$2:$D$500,DATA_DIARIO!$A$2:$A$500,$A39,DATA_DIARIO!$B$2:$B$500,"Millalemu 5"),""))</f>
        <v/>
      </c>
      <c r="M39" s="54">
        <f>IF($A39&gt;DATA_CONFIG!$B$4,"",IF(COUNTIFS(DATA_DIARIO!$A$2:$A$500,$A39,DATA_DIARIO!$B$2:$B$500,"Millalemu 7")&gt;0,SUMIFS(DATA_DIARIO!$C$2:$C$500,DATA_DIARIO!$A$2:$A$500,$A39,DATA_DIARIO!$B$2:$B$500,"Millalemu 7"),""))</f>
        <v/>
      </c>
      <c r="N39" s="55">
        <f>IF($A39&gt;DATA_CONFIG!$B$4,"",IF(COUNTIFS(DATA_DIARIO!$A$2:$A$500,$A39,DATA_DIARIO!$B$2:$B$500,"Millalemu 7")&gt;0,SUMIFS(DATA_DIARIO!$D$2:$D$500,DATA_DIARIO!$A$2:$A$500,$A39,DATA_DIARIO!$B$2:$B$500,"Millalemu 7"),""))</f>
        <v/>
      </c>
      <c r="O39" s="63">
        <f>IF($A39&gt;DATA_CONFIG!$B$4,"",IF(COUNTIFS(DATA_DIARIO!$A$2:$A$500,$A39,DATA_DIARIO!$B$2:$B$500,"Millalemu 9")&gt;0,SUMIFS(DATA_DIARIO!$C$2:$C$500,DATA_DIARIO!$A$2:$A$500,$A39,DATA_DIARIO!$B$2:$B$500,"Millalemu 9"),""))</f>
        <v/>
      </c>
      <c r="P39" s="64">
        <f>IF($A39&gt;DATA_CONFIG!$B$4,"",IF(COUNTIFS(DATA_DIARIO!$A$2:$A$500,$A39,DATA_DIARIO!$B$2:$B$500,"Millalemu 9")&gt;0,SUMIFS(DATA_DIARIO!$D$2:$D$500,DATA_DIARIO!$A$2:$A$500,$A39,DATA_DIARIO!$B$2:$B$500,"Millalemu 9"),""))</f>
        <v/>
      </c>
      <c r="Q39" s="54">
        <f>IF($A39&gt;DATA_CONFIG!$B$4,"",IF(COUNTIFS(DATA_DIARIO!$A$2:$A$500,$A39,DATA_DIARIO!$B$2:$B$500,"Millalemu 11")&gt;0,SUMIFS(DATA_DIARIO!$C$2:$C$500,DATA_DIARIO!$A$2:$A$500,$A39,DATA_DIARIO!$B$2:$B$500,"Millalemu 11"),""))</f>
        <v/>
      </c>
      <c r="R39" s="55">
        <f>IF($A39&gt;DATA_CONFIG!$B$4,"",IF(COUNTIFS(DATA_DIARIO!$A$2:$A$500,$A39,DATA_DIARIO!$B$2:$B$500,"Millalemu 11")&gt;0,SUMIFS(DATA_DIARIO!$D$2:$D$500,DATA_DIARIO!$A$2:$A$500,$A39,DATA_DIARIO!$B$2:$B$500,"Millalemu 11"),""))</f>
        <v/>
      </c>
      <c r="S39" s="65">
        <f>IF($A39&gt;DATA_CONFIG!$B$4,"",IF(SUMPRODUCT((DATA_DIARIO!$A$2:$A$500=$A39)*1)&gt;0,SUMIFS(DATA_DIARIO!$C$2:$C$500,DATA_DIARIO!$A$2:$A$500,$A39),""))</f>
        <v/>
      </c>
      <c r="T39" s="66">
        <f>IF(S39="","",IFERROR(S39/S5*100,0))</f>
        <v/>
      </c>
      <c r="U39" s="67">
        <f>IF($A39&gt;DATA_CONFIG!$B$4,"",IF(SUMPRODUCT((DATA_TM!$A$2:$A$500=$A39)*1)&gt;0,SUMIFS(DATA_TM!$F$2:$F$500,DATA_TM!$A$2:$A$500,$A39)/60,""))</f>
        <v/>
      </c>
      <c r="V39" s="5">
        <f>IF($A39&gt;DATA_CONFIG!$B$4,"",IFERROR(INDEX(DATA_CONFIG!$B$22:$B$52,MATCH($A39,DATA_CONFIG!$A$22:$A$52,0)),""))</f>
        <v/>
      </c>
    </row>
    <row r="40" ht="13" customHeight="1" s="150">
      <c r="A40" s="3">
        <f>IF(28&gt;DATA_CONFIG!$B$4,"",28)</f>
        <v/>
      </c>
      <c r="B40" s="4">
        <f>IF($A40&gt;DATA_CONFIG!$B$4,"",TEXT(DATE(DATA_CONFIG!$B$3,DATA_CONFIG!$B$2,$A40),"ddd"))</f>
        <v/>
      </c>
      <c r="C40" s="63">
        <f>IF($A40&gt;DATA_CONFIG!$B$4,"",IF(COUNTIFS(DATA_DIARIO!$A$2:$A$500,$A40,DATA_DIARIO!$B$2:$B$500,"Millalemu 1.1")&gt;0,SUMIFS(DATA_DIARIO!$C$2:$C$500,DATA_DIARIO!$A$2:$A$500,$A40,DATA_DIARIO!$B$2:$B$500,"Millalemu 1.1"),""))</f>
        <v/>
      </c>
      <c r="D40" s="64">
        <f>IF($A40&gt;DATA_CONFIG!$B$4,"",IF(COUNTIFS(DATA_DIARIO!$A$2:$A$500,$A40,DATA_DIARIO!$B$2:$B$500,"Millalemu 1.1")&gt;0,SUMIFS(DATA_DIARIO!$D$2:$D$500,DATA_DIARIO!$A$2:$A$500,$A40,DATA_DIARIO!$B$2:$B$500,"Millalemu 1.1"),""))</f>
        <v/>
      </c>
      <c r="E40" s="56">
        <f>IF($A40&gt;DATA_CONFIG!$B$4,"",IF(COUNTIFS(DATA_DIARIO!$A$2:$A$500,$A40,DATA_DIARIO!$B$2:$B$500,"Millalemu 1.2")&gt;0,SUMIFS(DATA_DIARIO!$C$2:$C$500,DATA_DIARIO!$A$2:$A$500,$A40,DATA_DIARIO!$B$2:$B$500,"Millalemu 1.2"),""))</f>
        <v/>
      </c>
      <c r="F40" s="57">
        <f>IF($A40&gt;DATA_CONFIG!$B$4,"",IF(COUNTIFS(DATA_DIARIO!$A$2:$A$500,$A40,DATA_DIARIO!$B$2:$B$500,"Millalemu 1.2")&gt;0,SUMIFS(DATA_DIARIO!$D$2:$D$500,DATA_DIARIO!$A$2:$A$500,$A40,DATA_DIARIO!$B$2:$B$500,"Millalemu 1.2"),""))</f>
        <v/>
      </c>
      <c r="G40" s="63">
        <f>IF($A40&gt;DATA_CONFIG!$B$4,"",IF(COUNTIFS(DATA_DIARIO!$A$2:$A$500,$A40,DATA_DIARIO!$B$2:$B$500,"Millalemu 1.3")&gt;0,SUMIFS(DATA_DIARIO!$C$2:$C$500,DATA_DIARIO!$A$2:$A$500,$A40,DATA_DIARIO!$B$2:$B$500,"Millalemu 1.3"),""))</f>
        <v/>
      </c>
      <c r="H40" s="64">
        <f>IF($A40&gt;DATA_CONFIG!$B$4,"",IF(COUNTIFS(DATA_DIARIO!$A$2:$A$500,$A40,DATA_DIARIO!$B$2:$B$500,"Millalemu 1.3")&gt;0,SUMIFS(DATA_DIARIO!$D$2:$D$500,DATA_DIARIO!$A$2:$A$500,$A40,DATA_DIARIO!$B$2:$B$500,"Millalemu 1.3"),""))</f>
        <v/>
      </c>
      <c r="I40" s="54">
        <f>IF($A40&gt;DATA_CONFIG!$B$4,"",IF(COUNTIFS(DATA_DIARIO!$A$2:$A$500,$A40,DATA_DIARIO!$B$2:$B$500,"Millalemu 1.4")&gt;0,SUMIFS(DATA_DIARIO!$C$2:$C$500,DATA_DIARIO!$A$2:$A$500,$A40,DATA_DIARIO!$B$2:$B$500,"Millalemu 1.4"),""))</f>
        <v/>
      </c>
      <c r="J40" s="55">
        <f>IF($A40&gt;DATA_CONFIG!$B$4,"",IF(COUNTIFS(DATA_DIARIO!$A$2:$A$500,$A40,DATA_DIARIO!$B$2:$B$500,"Millalemu 1.4")&gt;0,SUMIFS(DATA_DIARIO!$D$2:$D$500,DATA_DIARIO!$A$2:$A$500,$A40,DATA_DIARIO!$B$2:$B$500,"Millalemu 1.4"),""))</f>
        <v/>
      </c>
      <c r="K40" s="63">
        <f>IF($A40&gt;DATA_CONFIG!$B$4,"",IF(COUNTIFS(DATA_DIARIO!$A$2:$A$500,$A40,DATA_DIARIO!$B$2:$B$500,"Millalemu 5")&gt;0,SUMIFS(DATA_DIARIO!$C$2:$C$500,DATA_DIARIO!$A$2:$A$500,$A40,DATA_DIARIO!$B$2:$B$500,"Millalemu 5"),""))</f>
        <v/>
      </c>
      <c r="L40" s="64">
        <f>IF($A40&gt;DATA_CONFIG!$B$4,"",IF(COUNTIFS(DATA_DIARIO!$A$2:$A$500,$A40,DATA_DIARIO!$B$2:$B$500,"Millalemu 5")&gt;0,SUMIFS(DATA_DIARIO!$D$2:$D$500,DATA_DIARIO!$A$2:$A$500,$A40,DATA_DIARIO!$B$2:$B$500,"Millalemu 5"),""))</f>
        <v/>
      </c>
      <c r="M40" s="54">
        <f>IF($A40&gt;DATA_CONFIG!$B$4,"",IF(COUNTIFS(DATA_DIARIO!$A$2:$A$500,$A40,DATA_DIARIO!$B$2:$B$500,"Millalemu 7")&gt;0,SUMIFS(DATA_DIARIO!$C$2:$C$500,DATA_DIARIO!$A$2:$A$500,$A40,DATA_DIARIO!$B$2:$B$500,"Millalemu 7"),""))</f>
        <v/>
      </c>
      <c r="N40" s="55">
        <f>IF($A40&gt;DATA_CONFIG!$B$4,"",IF(COUNTIFS(DATA_DIARIO!$A$2:$A$500,$A40,DATA_DIARIO!$B$2:$B$500,"Millalemu 7")&gt;0,SUMIFS(DATA_DIARIO!$D$2:$D$500,DATA_DIARIO!$A$2:$A$500,$A40,DATA_DIARIO!$B$2:$B$500,"Millalemu 7"),""))</f>
        <v/>
      </c>
      <c r="O40" s="63">
        <f>IF($A40&gt;DATA_CONFIG!$B$4,"",IF(COUNTIFS(DATA_DIARIO!$A$2:$A$500,$A40,DATA_DIARIO!$B$2:$B$500,"Millalemu 9")&gt;0,SUMIFS(DATA_DIARIO!$C$2:$C$500,DATA_DIARIO!$A$2:$A$500,$A40,DATA_DIARIO!$B$2:$B$500,"Millalemu 9"),""))</f>
        <v/>
      </c>
      <c r="P40" s="64">
        <f>IF($A40&gt;DATA_CONFIG!$B$4,"",IF(COUNTIFS(DATA_DIARIO!$A$2:$A$500,$A40,DATA_DIARIO!$B$2:$B$500,"Millalemu 9")&gt;0,SUMIFS(DATA_DIARIO!$D$2:$D$500,DATA_DIARIO!$A$2:$A$500,$A40,DATA_DIARIO!$B$2:$B$500,"Millalemu 9"),""))</f>
        <v/>
      </c>
      <c r="Q40" s="54">
        <f>IF($A40&gt;DATA_CONFIG!$B$4,"",IF(COUNTIFS(DATA_DIARIO!$A$2:$A$500,$A40,DATA_DIARIO!$B$2:$B$500,"Millalemu 11")&gt;0,SUMIFS(DATA_DIARIO!$C$2:$C$500,DATA_DIARIO!$A$2:$A$500,$A40,DATA_DIARIO!$B$2:$B$500,"Millalemu 11"),""))</f>
        <v/>
      </c>
      <c r="R40" s="55">
        <f>IF($A40&gt;DATA_CONFIG!$B$4,"",IF(COUNTIFS(DATA_DIARIO!$A$2:$A$500,$A40,DATA_DIARIO!$B$2:$B$500,"Millalemu 11")&gt;0,SUMIFS(DATA_DIARIO!$D$2:$D$500,DATA_DIARIO!$A$2:$A$500,$A40,DATA_DIARIO!$B$2:$B$500,"Millalemu 11"),""))</f>
        <v/>
      </c>
      <c r="S40" s="65">
        <f>IF($A40&gt;DATA_CONFIG!$B$4,"",IF(SUMPRODUCT((DATA_DIARIO!$A$2:$A$500=$A40)*1)&gt;0,SUMIFS(DATA_DIARIO!$C$2:$C$500,DATA_DIARIO!$A$2:$A$500,$A40),""))</f>
        <v/>
      </c>
      <c r="T40" s="66">
        <f>IF(S40="","",IFERROR(S40/S5*100,0))</f>
        <v/>
      </c>
      <c r="U40" s="67">
        <f>IF($A40&gt;DATA_CONFIG!$B$4,"",IF(SUMPRODUCT((DATA_TM!$A$2:$A$500=$A40)*1)&gt;0,SUMIFS(DATA_TM!$F$2:$F$500,DATA_TM!$A$2:$A$500,$A40)/60,""))</f>
        <v/>
      </c>
      <c r="V40" s="5">
        <f>IF($A40&gt;DATA_CONFIG!$B$4,"",IFERROR(INDEX(DATA_CONFIG!$B$22:$B$52,MATCH($A40,DATA_CONFIG!$A$22:$A$52,0)),""))</f>
        <v/>
      </c>
    </row>
    <row r="41" ht="13" customHeight="1" s="150">
      <c r="A41" s="3">
        <f>IF(29&gt;DATA_CONFIG!$B$4,"",29)</f>
        <v/>
      </c>
      <c r="B41" s="4">
        <f>IF($A41&gt;DATA_CONFIG!$B$4,"",TEXT(DATE(DATA_CONFIG!$B$3,DATA_CONFIG!$B$2,$A41),"ddd"))</f>
        <v/>
      </c>
      <c r="C41" s="63">
        <f>IF($A41&gt;DATA_CONFIG!$B$4,"",IF(COUNTIFS(DATA_DIARIO!$A$2:$A$500,$A41,DATA_DIARIO!$B$2:$B$500,"Millalemu 1.1")&gt;0,SUMIFS(DATA_DIARIO!$C$2:$C$500,DATA_DIARIO!$A$2:$A$500,$A41,DATA_DIARIO!$B$2:$B$500,"Millalemu 1.1"),""))</f>
        <v/>
      </c>
      <c r="D41" s="64">
        <f>IF($A41&gt;DATA_CONFIG!$B$4,"",IF(COUNTIFS(DATA_DIARIO!$A$2:$A$500,$A41,DATA_DIARIO!$B$2:$B$500,"Millalemu 1.1")&gt;0,SUMIFS(DATA_DIARIO!$D$2:$D$500,DATA_DIARIO!$A$2:$A$500,$A41,DATA_DIARIO!$B$2:$B$500,"Millalemu 1.1"),""))</f>
        <v/>
      </c>
      <c r="E41" s="56">
        <f>IF($A41&gt;DATA_CONFIG!$B$4,"",IF(COUNTIFS(DATA_DIARIO!$A$2:$A$500,$A41,DATA_DIARIO!$B$2:$B$500,"Millalemu 1.2")&gt;0,SUMIFS(DATA_DIARIO!$C$2:$C$500,DATA_DIARIO!$A$2:$A$500,$A41,DATA_DIARIO!$B$2:$B$500,"Millalemu 1.2"),""))</f>
        <v/>
      </c>
      <c r="F41" s="57">
        <f>IF($A41&gt;DATA_CONFIG!$B$4,"",IF(COUNTIFS(DATA_DIARIO!$A$2:$A$500,$A41,DATA_DIARIO!$B$2:$B$500,"Millalemu 1.2")&gt;0,SUMIFS(DATA_DIARIO!$D$2:$D$500,DATA_DIARIO!$A$2:$A$500,$A41,DATA_DIARIO!$B$2:$B$500,"Millalemu 1.2"),""))</f>
        <v/>
      </c>
      <c r="G41" s="63">
        <f>IF($A41&gt;DATA_CONFIG!$B$4,"",IF(COUNTIFS(DATA_DIARIO!$A$2:$A$500,$A41,DATA_DIARIO!$B$2:$B$500,"Millalemu 1.3")&gt;0,SUMIFS(DATA_DIARIO!$C$2:$C$500,DATA_DIARIO!$A$2:$A$500,$A41,DATA_DIARIO!$B$2:$B$500,"Millalemu 1.3"),""))</f>
        <v/>
      </c>
      <c r="H41" s="64">
        <f>IF($A41&gt;DATA_CONFIG!$B$4,"",IF(COUNTIFS(DATA_DIARIO!$A$2:$A$500,$A41,DATA_DIARIO!$B$2:$B$500,"Millalemu 1.3")&gt;0,SUMIFS(DATA_DIARIO!$D$2:$D$500,DATA_DIARIO!$A$2:$A$500,$A41,DATA_DIARIO!$B$2:$B$500,"Millalemu 1.3"),""))</f>
        <v/>
      </c>
      <c r="I41" s="54">
        <f>IF($A41&gt;DATA_CONFIG!$B$4,"",IF(COUNTIFS(DATA_DIARIO!$A$2:$A$500,$A41,DATA_DIARIO!$B$2:$B$500,"Millalemu 1.4")&gt;0,SUMIFS(DATA_DIARIO!$C$2:$C$500,DATA_DIARIO!$A$2:$A$500,$A41,DATA_DIARIO!$B$2:$B$500,"Millalemu 1.4"),""))</f>
        <v/>
      </c>
      <c r="J41" s="55">
        <f>IF($A41&gt;DATA_CONFIG!$B$4,"",IF(COUNTIFS(DATA_DIARIO!$A$2:$A$500,$A41,DATA_DIARIO!$B$2:$B$500,"Millalemu 1.4")&gt;0,SUMIFS(DATA_DIARIO!$D$2:$D$500,DATA_DIARIO!$A$2:$A$500,$A41,DATA_DIARIO!$B$2:$B$500,"Millalemu 1.4"),""))</f>
        <v/>
      </c>
      <c r="K41" s="63">
        <f>IF($A41&gt;DATA_CONFIG!$B$4,"",IF(COUNTIFS(DATA_DIARIO!$A$2:$A$500,$A41,DATA_DIARIO!$B$2:$B$500,"Millalemu 5")&gt;0,SUMIFS(DATA_DIARIO!$C$2:$C$500,DATA_DIARIO!$A$2:$A$500,$A41,DATA_DIARIO!$B$2:$B$500,"Millalemu 5"),""))</f>
        <v/>
      </c>
      <c r="L41" s="64">
        <f>IF($A41&gt;DATA_CONFIG!$B$4,"",IF(COUNTIFS(DATA_DIARIO!$A$2:$A$500,$A41,DATA_DIARIO!$B$2:$B$500,"Millalemu 5")&gt;0,SUMIFS(DATA_DIARIO!$D$2:$D$500,DATA_DIARIO!$A$2:$A$500,$A41,DATA_DIARIO!$B$2:$B$500,"Millalemu 5"),""))</f>
        <v/>
      </c>
      <c r="M41" s="54">
        <f>IF($A41&gt;DATA_CONFIG!$B$4,"",IF(COUNTIFS(DATA_DIARIO!$A$2:$A$500,$A41,DATA_DIARIO!$B$2:$B$500,"Millalemu 7")&gt;0,SUMIFS(DATA_DIARIO!$C$2:$C$500,DATA_DIARIO!$A$2:$A$500,$A41,DATA_DIARIO!$B$2:$B$500,"Millalemu 7"),""))</f>
        <v/>
      </c>
      <c r="N41" s="55">
        <f>IF($A41&gt;DATA_CONFIG!$B$4,"",IF(COUNTIFS(DATA_DIARIO!$A$2:$A$500,$A41,DATA_DIARIO!$B$2:$B$500,"Millalemu 7")&gt;0,SUMIFS(DATA_DIARIO!$D$2:$D$500,DATA_DIARIO!$A$2:$A$500,$A41,DATA_DIARIO!$B$2:$B$500,"Millalemu 7"),""))</f>
        <v/>
      </c>
      <c r="O41" s="63">
        <f>IF($A41&gt;DATA_CONFIG!$B$4,"",IF(COUNTIFS(DATA_DIARIO!$A$2:$A$500,$A41,DATA_DIARIO!$B$2:$B$500,"Millalemu 9")&gt;0,SUMIFS(DATA_DIARIO!$C$2:$C$500,DATA_DIARIO!$A$2:$A$500,$A41,DATA_DIARIO!$B$2:$B$500,"Millalemu 9"),""))</f>
        <v/>
      </c>
      <c r="P41" s="64">
        <f>IF($A41&gt;DATA_CONFIG!$B$4,"",IF(COUNTIFS(DATA_DIARIO!$A$2:$A$500,$A41,DATA_DIARIO!$B$2:$B$500,"Millalemu 9")&gt;0,SUMIFS(DATA_DIARIO!$D$2:$D$500,DATA_DIARIO!$A$2:$A$500,$A41,DATA_DIARIO!$B$2:$B$500,"Millalemu 9"),""))</f>
        <v/>
      </c>
      <c r="Q41" s="54">
        <f>IF($A41&gt;DATA_CONFIG!$B$4,"",IF(COUNTIFS(DATA_DIARIO!$A$2:$A$500,$A41,DATA_DIARIO!$B$2:$B$500,"Millalemu 11")&gt;0,SUMIFS(DATA_DIARIO!$C$2:$C$500,DATA_DIARIO!$A$2:$A$500,$A41,DATA_DIARIO!$B$2:$B$500,"Millalemu 11"),""))</f>
        <v/>
      </c>
      <c r="R41" s="55">
        <f>IF($A41&gt;DATA_CONFIG!$B$4,"",IF(COUNTIFS(DATA_DIARIO!$A$2:$A$500,$A41,DATA_DIARIO!$B$2:$B$500,"Millalemu 11")&gt;0,SUMIFS(DATA_DIARIO!$D$2:$D$500,DATA_DIARIO!$A$2:$A$500,$A41,DATA_DIARIO!$B$2:$B$500,"Millalemu 11"),""))</f>
        <v/>
      </c>
      <c r="S41" s="65">
        <f>IF($A41&gt;DATA_CONFIG!$B$4,"",IF(SUMPRODUCT((DATA_DIARIO!$A$2:$A$500=$A41)*1)&gt;0,SUMIFS(DATA_DIARIO!$C$2:$C$500,DATA_DIARIO!$A$2:$A$500,$A41),""))</f>
        <v/>
      </c>
      <c r="T41" s="66">
        <f>IF(S41="","",IFERROR(S41/S5*100,0))</f>
        <v/>
      </c>
      <c r="U41" s="67">
        <f>IF($A41&gt;DATA_CONFIG!$B$4,"",IF(SUMPRODUCT((DATA_TM!$A$2:$A$500=$A41)*1)&gt;0,SUMIFS(DATA_TM!$F$2:$F$500,DATA_TM!$A$2:$A$500,$A41)/60,""))</f>
        <v/>
      </c>
      <c r="V41" s="5">
        <f>IF($A41&gt;DATA_CONFIG!$B$4,"",IFERROR(INDEX(DATA_CONFIG!$B$22:$B$52,MATCH($A41,DATA_CONFIG!$A$22:$A$52,0)),""))</f>
        <v/>
      </c>
    </row>
    <row r="42" ht="13" customHeight="1" s="150" thickBot="1">
      <c r="A42" s="3">
        <f>IF(30&gt;DATA_CONFIG!$B$4,"",30)</f>
        <v/>
      </c>
      <c r="B42" s="4">
        <f>IF($A42&gt;DATA_CONFIG!$B$4,"",TEXT(DATE(DATA_CONFIG!$B$3,DATA_CONFIG!$B$2,$A42),"ddd"))</f>
        <v/>
      </c>
      <c r="C42" s="63">
        <f>IF($A42&gt;DATA_CONFIG!$B$4,"",IF(COUNTIFS(DATA_DIARIO!$A$2:$A$500,$A42,DATA_DIARIO!$B$2:$B$500,"Millalemu 1.1")&gt;0,SUMIFS(DATA_DIARIO!$C$2:$C$500,DATA_DIARIO!$A$2:$A$500,$A42,DATA_DIARIO!$B$2:$B$500,"Millalemu 1.1"),""))</f>
        <v/>
      </c>
      <c r="D42" s="64">
        <f>IF($A42&gt;DATA_CONFIG!$B$4,"",IF(COUNTIFS(DATA_DIARIO!$A$2:$A$500,$A42,DATA_DIARIO!$B$2:$B$500,"Millalemu 1.1")&gt;0,SUMIFS(DATA_DIARIO!$D$2:$D$500,DATA_DIARIO!$A$2:$A$500,$A42,DATA_DIARIO!$B$2:$B$500,"Millalemu 1.1"),""))</f>
        <v/>
      </c>
      <c r="E42" s="56">
        <f>IF($A42&gt;DATA_CONFIG!$B$4,"",IF(COUNTIFS(DATA_DIARIO!$A$2:$A$500,$A42,DATA_DIARIO!$B$2:$B$500,"Millalemu 1.2")&gt;0,SUMIFS(DATA_DIARIO!$C$2:$C$500,DATA_DIARIO!$A$2:$A$500,$A42,DATA_DIARIO!$B$2:$B$500,"Millalemu 1.2"),""))</f>
        <v/>
      </c>
      <c r="F42" s="57">
        <f>IF($A42&gt;DATA_CONFIG!$B$4,"",IF(COUNTIFS(DATA_DIARIO!$A$2:$A$500,$A42,DATA_DIARIO!$B$2:$B$500,"Millalemu 1.2")&gt;0,SUMIFS(DATA_DIARIO!$D$2:$D$500,DATA_DIARIO!$A$2:$A$500,$A42,DATA_DIARIO!$B$2:$B$500,"Millalemu 1.2"),""))</f>
        <v/>
      </c>
      <c r="G42" s="63">
        <f>IF($A42&gt;DATA_CONFIG!$B$4,"",IF(COUNTIFS(DATA_DIARIO!$A$2:$A$500,$A42,DATA_DIARIO!$B$2:$B$500,"Millalemu 1.3")&gt;0,SUMIFS(DATA_DIARIO!$C$2:$C$500,DATA_DIARIO!$A$2:$A$500,$A42,DATA_DIARIO!$B$2:$B$500,"Millalemu 1.3"),""))</f>
        <v/>
      </c>
      <c r="H42" s="64">
        <f>IF($A42&gt;DATA_CONFIG!$B$4,"",IF(COUNTIFS(DATA_DIARIO!$A$2:$A$500,$A42,DATA_DIARIO!$B$2:$B$500,"Millalemu 1.3")&gt;0,SUMIFS(DATA_DIARIO!$D$2:$D$500,DATA_DIARIO!$A$2:$A$500,$A42,DATA_DIARIO!$B$2:$B$500,"Millalemu 1.3"),""))</f>
        <v/>
      </c>
      <c r="I42" s="54">
        <f>IF($A42&gt;DATA_CONFIG!$B$4,"",IF(COUNTIFS(DATA_DIARIO!$A$2:$A$500,$A42,DATA_DIARIO!$B$2:$B$500,"Millalemu 1.4")&gt;0,SUMIFS(DATA_DIARIO!$C$2:$C$500,DATA_DIARIO!$A$2:$A$500,$A42,DATA_DIARIO!$B$2:$B$500,"Millalemu 1.4"),""))</f>
        <v/>
      </c>
      <c r="J42" s="55">
        <f>IF($A42&gt;DATA_CONFIG!$B$4,"",IF(COUNTIFS(DATA_DIARIO!$A$2:$A$500,$A42,DATA_DIARIO!$B$2:$B$500,"Millalemu 1.4")&gt;0,SUMIFS(DATA_DIARIO!$D$2:$D$500,DATA_DIARIO!$A$2:$A$500,$A42,DATA_DIARIO!$B$2:$B$500,"Millalemu 1.4"),""))</f>
        <v/>
      </c>
      <c r="K42" s="63">
        <f>IF($A42&gt;DATA_CONFIG!$B$4,"",IF(COUNTIFS(DATA_DIARIO!$A$2:$A$500,$A42,DATA_DIARIO!$B$2:$B$500,"Millalemu 5")&gt;0,SUMIFS(DATA_DIARIO!$C$2:$C$500,DATA_DIARIO!$A$2:$A$500,$A42,DATA_DIARIO!$B$2:$B$500,"Millalemu 5"),""))</f>
        <v/>
      </c>
      <c r="L42" s="64">
        <f>IF($A42&gt;DATA_CONFIG!$B$4,"",IF(COUNTIFS(DATA_DIARIO!$A$2:$A$500,$A42,DATA_DIARIO!$B$2:$B$500,"Millalemu 5")&gt;0,SUMIFS(DATA_DIARIO!$D$2:$D$500,DATA_DIARIO!$A$2:$A$500,$A42,DATA_DIARIO!$B$2:$B$500,"Millalemu 5"),""))</f>
        <v/>
      </c>
      <c r="M42" s="54">
        <f>IF($A42&gt;DATA_CONFIG!$B$4,"",IF(COUNTIFS(DATA_DIARIO!$A$2:$A$500,$A42,DATA_DIARIO!$B$2:$B$500,"Millalemu 7")&gt;0,SUMIFS(DATA_DIARIO!$C$2:$C$500,DATA_DIARIO!$A$2:$A$500,$A42,DATA_DIARIO!$B$2:$B$500,"Millalemu 7"),""))</f>
        <v/>
      </c>
      <c r="N42" s="55">
        <f>IF($A42&gt;DATA_CONFIG!$B$4,"",IF(COUNTIFS(DATA_DIARIO!$A$2:$A$500,$A42,DATA_DIARIO!$B$2:$B$500,"Millalemu 7")&gt;0,SUMIFS(DATA_DIARIO!$D$2:$D$500,DATA_DIARIO!$A$2:$A$500,$A42,DATA_DIARIO!$B$2:$B$500,"Millalemu 7"),""))</f>
        <v/>
      </c>
      <c r="O42" s="63">
        <f>IF($A42&gt;DATA_CONFIG!$B$4,"",IF(COUNTIFS(DATA_DIARIO!$A$2:$A$500,$A42,DATA_DIARIO!$B$2:$B$500,"Millalemu 9")&gt;0,SUMIFS(DATA_DIARIO!$C$2:$C$500,DATA_DIARIO!$A$2:$A$500,$A42,DATA_DIARIO!$B$2:$B$500,"Millalemu 9"),""))</f>
        <v/>
      </c>
      <c r="P42" s="64">
        <f>IF($A42&gt;DATA_CONFIG!$B$4,"",IF(COUNTIFS(DATA_DIARIO!$A$2:$A$500,$A42,DATA_DIARIO!$B$2:$B$500,"Millalemu 9")&gt;0,SUMIFS(DATA_DIARIO!$D$2:$D$500,DATA_DIARIO!$A$2:$A$500,$A42,DATA_DIARIO!$B$2:$B$500,"Millalemu 9"),""))</f>
        <v/>
      </c>
      <c r="Q42" s="54">
        <f>IF($A42&gt;DATA_CONFIG!$B$4,"",IF(COUNTIFS(DATA_DIARIO!$A$2:$A$500,$A42,DATA_DIARIO!$B$2:$B$500,"Millalemu 11")&gt;0,SUMIFS(DATA_DIARIO!$C$2:$C$500,DATA_DIARIO!$A$2:$A$500,$A42,DATA_DIARIO!$B$2:$B$500,"Millalemu 11"),""))</f>
        <v/>
      </c>
      <c r="R42" s="55">
        <f>IF($A42&gt;DATA_CONFIG!$B$4,"",IF(COUNTIFS(DATA_DIARIO!$A$2:$A$500,$A42,DATA_DIARIO!$B$2:$B$500,"Millalemu 11")&gt;0,SUMIFS(DATA_DIARIO!$D$2:$D$500,DATA_DIARIO!$A$2:$A$500,$A42,DATA_DIARIO!$B$2:$B$500,"Millalemu 11"),""))</f>
        <v/>
      </c>
      <c r="S42" s="65">
        <f>IF($A42&gt;DATA_CONFIG!$B$4,"",IF(SUMPRODUCT((DATA_DIARIO!$A$2:$A$500=$A42)*1)&gt;0,SUMIFS(DATA_DIARIO!$C$2:$C$500,DATA_DIARIO!$A$2:$A$500,$A42),""))</f>
        <v/>
      </c>
      <c r="T42" s="66">
        <f>IF(S42="","",IFERROR(S42/S5*100,0))</f>
        <v/>
      </c>
      <c r="U42" s="67">
        <f>IF($A42&gt;DATA_CONFIG!$B$4,"",IF(SUMPRODUCT((DATA_TM!$A$2:$A$500=$A42)*1)&gt;0,SUMIFS(DATA_TM!$F$2:$F$500,DATA_TM!$A$2:$A$500,$A42)/60,""))</f>
        <v/>
      </c>
      <c r="V42" s="5">
        <f>IF($A42&gt;DATA_CONFIG!$B$4,"",IFERROR(INDEX(DATA_CONFIG!$B$22:$B$52,MATCH($A42,DATA_CONFIG!$A$22:$A$52,0)),""))</f>
        <v/>
      </c>
    </row>
    <row r="43" hidden="1" outlineLevel="1" ht="13" customHeight="1" s="150" thickBot="1">
      <c r="A43" s="3">
        <f>IF(31&gt;DATA_CONFIG!$B$4,"",31)</f>
        <v/>
      </c>
      <c r="B43" s="4">
        <f>IF($A43&gt;DATA_CONFIG!$B$4,"",TEXT(DATE(DATA_CONFIG!$B$3,DATA_CONFIG!$B$2,$A43),"ddd"))</f>
        <v/>
      </c>
      <c r="C43" s="68">
        <f>IF($A43&gt;DATA_CONFIG!$B$4,"",IF(COUNTIFS(DATA_DIARIO!$A$2:$A$500,$A43,DATA_DIARIO!$B$2:$B$500,"Millalemu 1.1")&gt;0,SUMIFS(DATA_DIARIO!$C$2:$C$500,DATA_DIARIO!$A$2:$A$500,$A43,DATA_DIARIO!$B$2:$B$500,"Millalemu 1.1"),""))</f>
        <v/>
      </c>
      <c r="D43" s="69">
        <f>IF($A43&gt;DATA_CONFIG!$B$4,"",IF(COUNTIFS(DATA_DIARIO!$A$2:$A$500,$A43,DATA_DIARIO!$B$2:$B$500,"Millalemu 1.1")&gt;0,SUMIFS(DATA_DIARIO!$D$2:$D$500,DATA_DIARIO!$A$2:$A$500,$A43,DATA_DIARIO!$B$2:$B$500,"Millalemu 1.1"),""))</f>
        <v/>
      </c>
      <c r="E43" s="70">
        <f>IF($A43&gt;DATA_CONFIG!$B$4,"",IF(COUNTIFS(DATA_DIARIO!$A$2:$A$500,$A43,DATA_DIARIO!$B$2:$B$500,"Millalemu 1.2")&gt;0,SUMIFS(DATA_DIARIO!$C$2:$C$500,DATA_DIARIO!$A$2:$A$500,$A43,DATA_DIARIO!$B$2:$B$500,"Millalemu 1.2"),""))</f>
        <v/>
      </c>
      <c r="F43" s="71">
        <f>IF($A43&gt;DATA_CONFIG!$B$4,"",IF(COUNTIFS(DATA_DIARIO!$A$2:$A$500,$A43,DATA_DIARIO!$B$2:$B$500,"Millalemu 1.2")&gt;0,SUMIFS(DATA_DIARIO!$D$2:$D$500,DATA_DIARIO!$A$2:$A$500,$A43,DATA_DIARIO!$B$2:$B$500,"Millalemu 1.2"),""))</f>
        <v/>
      </c>
      <c r="G43" s="68">
        <f>IF($A43&gt;DATA_CONFIG!$B$4,"",IF(COUNTIFS(DATA_DIARIO!$A$2:$A$500,$A43,DATA_DIARIO!$B$2:$B$500,"Millalemu 1.3")&gt;0,SUMIFS(DATA_DIARIO!$C$2:$C$500,DATA_DIARIO!$A$2:$A$500,$A43,DATA_DIARIO!$B$2:$B$500,"Millalemu 1.3"),""))</f>
        <v/>
      </c>
      <c r="H43" s="69">
        <f>IF($A43&gt;DATA_CONFIG!$B$4,"",IF(COUNTIFS(DATA_DIARIO!$A$2:$A$500,$A43,DATA_DIARIO!$B$2:$B$500,"Millalemu 1.3")&gt;0,SUMIFS(DATA_DIARIO!$D$2:$D$500,DATA_DIARIO!$A$2:$A$500,$A43,DATA_DIARIO!$B$2:$B$500,"Millalemu 1.3"),""))</f>
        <v/>
      </c>
      <c r="I43" s="72">
        <f>IF($A43&gt;DATA_CONFIG!$B$4,"",IF(COUNTIFS(DATA_DIARIO!$A$2:$A$500,$A43,DATA_DIARIO!$B$2:$B$500,"Millalemu 1.4")&gt;0,SUMIFS(DATA_DIARIO!$C$2:$C$500,DATA_DIARIO!$A$2:$A$500,$A43,DATA_DIARIO!$B$2:$B$500,"Millalemu 1.4"),""))</f>
        <v/>
      </c>
      <c r="J43" s="73">
        <f>IF($A43&gt;DATA_CONFIG!$B$4,"",IF(COUNTIFS(DATA_DIARIO!$A$2:$A$500,$A43,DATA_DIARIO!$B$2:$B$500,"Millalemu 1.4")&gt;0,SUMIFS(DATA_DIARIO!$D$2:$D$500,DATA_DIARIO!$A$2:$A$500,$A43,DATA_DIARIO!$B$2:$B$500,"Millalemu 1.4"),""))</f>
        <v/>
      </c>
      <c r="K43" s="68">
        <f>IF($A43&gt;DATA_CONFIG!$B$4,"",IF(COUNTIFS(DATA_DIARIO!$A$2:$A$500,$A43,DATA_DIARIO!$B$2:$B$500,"Millalemu 5")&gt;0,SUMIFS(DATA_DIARIO!$C$2:$C$500,DATA_DIARIO!$A$2:$A$500,$A43,DATA_DIARIO!$B$2:$B$500,"Millalemu 5"),""))</f>
        <v/>
      </c>
      <c r="L43" s="69">
        <f>IF($A43&gt;DATA_CONFIG!$B$4,"",IF(COUNTIFS(DATA_DIARIO!$A$2:$A$500,$A43,DATA_DIARIO!$B$2:$B$500,"Millalemu 5")&gt;0,SUMIFS(DATA_DIARIO!$D$2:$D$500,DATA_DIARIO!$A$2:$A$500,$A43,DATA_DIARIO!$B$2:$B$500,"Millalemu 5"),""))</f>
        <v/>
      </c>
      <c r="M43" s="72">
        <f>IF($A43&gt;DATA_CONFIG!$B$4,"",IF(COUNTIFS(DATA_DIARIO!$A$2:$A$500,$A43,DATA_DIARIO!$B$2:$B$500,"Millalemu 7")&gt;0,SUMIFS(DATA_DIARIO!$C$2:$C$500,DATA_DIARIO!$A$2:$A$500,$A43,DATA_DIARIO!$B$2:$B$500,"Millalemu 7"),""))</f>
        <v/>
      </c>
      <c r="N43" s="73">
        <f>IF($A43&gt;DATA_CONFIG!$B$4,"",IF(COUNTIFS(DATA_DIARIO!$A$2:$A$500,$A43,DATA_DIARIO!$B$2:$B$500,"Millalemu 7")&gt;0,SUMIFS(DATA_DIARIO!$D$2:$D$500,DATA_DIARIO!$A$2:$A$500,$A43,DATA_DIARIO!$B$2:$B$500,"Millalemu 7"),""))</f>
        <v/>
      </c>
      <c r="O43" s="68">
        <f>IF($A43&gt;DATA_CONFIG!$B$4,"",IF(COUNTIFS(DATA_DIARIO!$A$2:$A$500,$A43,DATA_DIARIO!$B$2:$B$500,"Millalemu 9")&gt;0,SUMIFS(DATA_DIARIO!$C$2:$C$500,DATA_DIARIO!$A$2:$A$500,$A43,DATA_DIARIO!$B$2:$B$500,"Millalemu 9"),""))</f>
        <v/>
      </c>
      <c r="P43" s="69">
        <f>IF($A43&gt;DATA_CONFIG!$B$4,"",IF(COUNTIFS(DATA_DIARIO!$A$2:$A$500,$A43,DATA_DIARIO!$B$2:$B$500,"Millalemu 9")&gt;0,SUMIFS(DATA_DIARIO!$D$2:$D$500,DATA_DIARIO!$A$2:$A$500,$A43,DATA_DIARIO!$B$2:$B$500,"Millalemu 9"),""))</f>
        <v/>
      </c>
      <c r="Q43" s="72">
        <f>IF($A43&gt;DATA_CONFIG!$B$4,"",IF(COUNTIFS(DATA_DIARIO!$A$2:$A$500,$A43,DATA_DIARIO!$B$2:$B$500,"Millalemu 11")&gt;0,SUMIFS(DATA_DIARIO!$C$2:$C$500,DATA_DIARIO!$A$2:$A$500,$A43,DATA_DIARIO!$B$2:$B$500,"Millalemu 11"),""))</f>
        <v/>
      </c>
      <c r="R43" s="73">
        <f>IF($A43&gt;DATA_CONFIG!$B$4,"",IF(COUNTIFS(DATA_DIARIO!$A$2:$A$500,$A43,DATA_DIARIO!$B$2:$B$500,"Millalemu 11")&gt;0,SUMIFS(DATA_DIARIO!$D$2:$D$500,DATA_DIARIO!$A$2:$A$500,$A43,DATA_DIARIO!$B$2:$B$500,"Millalemu 11"),""))</f>
        <v/>
      </c>
      <c r="S43" s="74">
        <f>IF($A43&gt;DATA_CONFIG!$B$4,"",IF(SUMPRODUCT((DATA_DIARIO!$A$2:$A$500=$A43)*1)&gt;0,SUMIFS(DATA_DIARIO!$C$2:$C$500,DATA_DIARIO!$A$2:$A$500,$A43),""))</f>
        <v/>
      </c>
      <c r="T43" s="75">
        <f>IF(S43="","",IFERROR(S43/S5*100,0))</f>
        <v/>
      </c>
      <c r="U43" s="76">
        <f>IF($A43&gt;DATA_CONFIG!$B$4,"",IF(SUMPRODUCT((DATA_TM!$A$2:$A$500=$A43)*1)&gt;0,SUMIFS(DATA_TM!$F$2:$F$500,DATA_TM!$A$2:$A$500,$A43)/60,""))</f>
        <v/>
      </c>
      <c r="V43" s="5">
        <f>IF($A43&gt;DATA_CONFIG!$B$4,"",IFERROR(INDEX(DATA_CONFIG!$B$22:$B$52,MATCH($A43,DATA_CONFIG!$A$22:$A$52,0)),""))</f>
        <v/>
      </c>
    </row>
    <row r="44" collapsed="1" ht="16" customHeight="1" s="150" thickBot="1">
      <c r="A44" s="185" t="inlineStr">
        <is>
          <t>TOTAL MES</t>
        </is>
      </c>
      <c r="C44" s="77">
        <f>SUMIFS(DATA_DIARIO!$C$2:$C$500,DATA_DIARIO!$B$2:$B$500,"Millalemu 1.1")</f>
        <v/>
      </c>
      <c r="D44" s="79">
        <f>SUMIFS(DATA_DIARIO!$D$2:$D$500,DATA_DIARIO!$B$2:$B$500,"Millalemu 1.1")</f>
        <v/>
      </c>
      <c r="E44" s="78">
        <f>SUMIFS(DATA_DIARIO!$C$2:$C$500,DATA_DIARIO!$B$2:$B$500,"Millalemu 1.2")</f>
        <v/>
      </c>
      <c r="F44" s="78">
        <f>SUMIFS(DATA_DIARIO!$D$2:$D$500,DATA_DIARIO!$B$2:$B$500,"Millalemu 1.2")</f>
        <v/>
      </c>
      <c r="G44" s="79">
        <f>SUMIFS(DATA_DIARIO!$C$2:$C$500,DATA_DIARIO!$B$2:$B$500,"Millalemu 1.3")</f>
        <v/>
      </c>
      <c r="H44" s="79">
        <f>SUMIFS(DATA_DIARIO!$D$2:$D$500,DATA_DIARIO!$B$2:$B$500,"Millalemu 1.3")</f>
        <v/>
      </c>
      <c r="I44" s="80">
        <f>SUMIFS(DATA_DIARIO!$C$2:$C$500,DATA_DIARIO!$B$2:$B$500,"Millalemu 1.4")</f>
        <v/>
      </c>
      <c r="J44" s="80">
        <f>SUMIFS(DATA_DIARIO!$D$2:$D$500,DATA_DIARIO!$B$2:$B$500,"Millalemu 1.4")</f>
        <v/>
      </c>
      <c r="K44" s="79">
        <f>SUMIFS(DATA_DIARIO!$C$2:$C$500,DATA_DIARIO!$B$2:$B$500,"Millalemu 5")</f>
        <v/>
      </c>
      <c r="L44" s="79">
        <f>SUMIFS(DATA_DIARIO!$D$2:$D$500,DATA_DIARIO!$B$2:$B$500,"Millalemu 5")</f>
        <v/>
      </c>
      <c r="M44" s="80">
        <f>SUMIFS(DATA_DIARIO!$C$2:$C$500,DATA_DIARIO!$B$2:$B$500,"Millalemu 7")</f>
        <v/>
      </c>
      <c r="N44" s="80">
        <f>SUMIFS(DATA_DIARIO!$D$2:$D$500,DATA_DIARIO!$B$2:$B$500,"Millalemu 7")</f>
        <v/>
      </c>
      <c r="O44" s="79">
        <f>SUMIFS(DATA_DIARIO!$C$2:$C$500,DATA_DIARIO!$B$2:$B$500,"Millalemu 9")</f>
        <v/>
      </c>
      <c r="P44" s="79">
        <f>SUMIFS(DATA_DIARIO!$D$2:$D$500,DATA_DIARIO!$B$2:$B$500,"Millalemu 9")</f>
        <v/>
      </c>
      <c r="Q44" s="80">
        <f>SUMIFS(DATA_DIARIO!$C$2:$C$500,DATA_DIARIO!$B$2:$B$500,"Millalemu 11")</f>
        <v/>
      </c>
      <c r="R44" s="80">
        <f>SUMIFS(DATA_DIARIO!$D$2:$D$500,DATA_DIARIO!$B$2:$B$500,"Millalemu 11")</f>
        <v/>
      </c>
      <c r="S44" s="81">
        <f>SUM(DATA_DIARIO!C:C)</f>
        <v/>
      </c>
      <c r="T44" s="82">
        <f>IFERROR(S44/S4*100,0)</f>
        <v/>
      </c>
      <c r="U44" s="91">
        <f>ROUND(SUM(DATA_TM!F:F)/60,1)</f>
        <v/>
      </c>
    </row>
    <row r="46">
      <c r="A46" s="149" t="inlineStr">
        <is>
          <t>RESUMEN OPERACIONAL POR EQUIPO</t>
        </is>
      </c>
    </row>
    <row r="47" ht="26" customHeight="1" s="150">
      <c r="A47" s="167" t="inlineStr">
        <is>
          <t>Equipo</t>
        </is>
      </c>
      <c r="B47" s="144" t="n"/>
      <c r="C47" s="167" t="inlineStr">
        <is>
          <t>Vol. Acum. (m³)</t>
        </is>
      </c>
      <c r="D47" s="144" t="n"/>
      <c r="E47" s="167" t="inlineStr">
        <is>
          <t>Meta Mensual</t>
        </is>
      </c>
      <c r="F47" s="144" t="n"/>
      <c r="G47" s="167" t="inlineStr">
        <is>
          <t>Cumpl. %</t>
        </is>
      </c>
      <c r="H47" s="144" t="n"/>
      <c r="I47" s="167" t="inlineStr">
        <is>
          <t>Prom m³/día</t>
        </is>
      </c>
      <c r="J47" s="144" t="n"/>
      <c r="K47" s="167" t="inlineStr">
        <is>
          <t>m³/hora Prom</t>
        </is>
      </c>
      <c r="L47" s="144" t="n"/>
      <c r="M47" s="167" t="inlineStr">
        <is>
          <t>Disp. Prom %</t>
        </is>
      </c>
      <c r="N47" s="144" t="n"/>
      <c r="O47" s="167" t="inlineStr">
        <is>
          <t>TM Mant (hrs)</t>
        </is>
      </c>
      <c r="P47" s="144" t="n"/>
      <c r="Q47" s="167" t="inlineStr">
        <is>
          <t>TM Oper (hrs)</t>
        </is>
      </c>
      <c r="R47" s="144" t="n"/>
      <c r="S47" s="167" t="inlineStr">
        <is>
          <t>TM Proc (hrs)</t>
        </is>
      </c>
      <c r="T47" s="144" t="n"/>
      <c r="U47" s="167" t="inlineStr">
        <is>
          <t>Ritmo Nec.</t>
        </is>
      </c>
    </row>
    <row r="48">
      <c r="A48" s="148" t="inlineStr">
        <is>
          <t>Millalemu 1.1</t>
        </is>
      </c>
      <c r="B48" s="144" t="n"/>
      <c r="C48" s="154">
        <f>SUMIFS(DATA_DIARIO!$C$2:$C$500,DATA_DIARIO!$B$2:$B$500,A48)</f>
        <v/>
      </c>
      <c r="D48" s="144" t="n"/>
      <c r="E48" s="152">
        <f>DATA_CONFIG!B12</f>
        <v/>
      </c>
      <c r="F48" s="144" t="n"/>
      <c r="G48" s="172">
        <f>IFERROR((C48+I48*DATA_CONFIG!$B$9)/E48*100,0)</f>
        <v/>
      </c>
      <c r="H48" s="144" t="n"/>
      <c r="I48" s="143">
        <f>IFERROR(C48/COUNTIFS(DATA_DIARIO!$B$2:$B$500,A48),0)</f>
        <v/>
      </c>
      <c r="J48" s="144" t="n"/>
      <c r="K48" s="143">
        <f>IFERROR(C48/SUMIFS(DATA_DIARIO!$D$2:$D$500,DATA_DIARIO!$B$2:$B$500,A48),0)</f>
        <v/>
      </c>
      <c r="L48" s="144" t="n"/>
      <c r="M48" s="157">
        <f>IFERROR(100-SUMIFS(DATA_DIARIO!$G$2:$G$500,DATA_DIARIO!$B$2:$B$500,A48)/(COUNTIFS(DATA_DIARIO!$B$2:$B$500,A48)*DATA_CONFIG!$B$7*60)*100,0)</f>
        <v/>
      </c>
      <c r="N48" s="144" t="n"/>
      <c r="O48" s="147">
        <f>ROUND(SUMIFS(DATA_TM!$F$2:$F$500,DATA_TM!$B$2:$B$500,A48,DATA_TM!$E$2:$E$500,"Mantención")/60,1)</f>
        <v/>
      </c>
      <c r="P48" s="144" t="n"/>
      <c r="Q48" s="151">
        <f>ROUND(SUMIFS(DATA_TM!$F$2:$F$500,DATA_TM!$B$2:$B$500,A48,DATA_TM!$E$2:$E$500,"Operacional")/60,1)</f>
        <v/>
      </c>
      <c r="R48" s="144" t="n"/>
      <c r="S48" s="164">
        <f>ROUND(SUMIFS(DATA_TM!$F$2:$F$500,DATA_TM!$B$2:$B$500,A48,DATA_TM!$E$2:$E$500,"Proceso")/60,1)</f>
        <v/>
      </c>
      <c r="T48" s="144" t="n"/>
      <c r="U48" s="92">
        <f>IFERROR((E48-C48)/DATA_CONFIG!$B$9,0)</f>
        <v/>
      </c>
    </row>
    <row r="49">
      <c r="A49" s="148" t="inlineStr">
        <is>
          <t>Millalemu 1.2</t>
        </is>
      </c>
      <c r="B49" s="144" t="n"/>
      <c r="C49" s="154">
        <f>SUMIFS(DATA_DIARIO!$C$2:$C$500,DATA_DIARIO!$B$2:$B$500,A49)</f>
        <v/>
      </c>
      <c r="D49" s="144" t="n"/>
      <c r="E49" s="152">
        <f>DATA_CONFIG!B13</f>
        <v/>
      </c>
      <c r="F49" s="144" t="n"/>
      <c r="G49" s="172">
        <f>IFERROR((C49+I49*DATA_CONFIG!$B$9)/E49*100,0)</f>
        <v/>
      </c>
      <c r="H49" s="144" t="n"/>
      <c r="I49" s="143">
        <f>IFERROR(C49/COUNTIFS(DATA_DIARIO!$B$2:$B$500,A49),0)</f>
        <v/>
      </c>
      <c r="J49" s="144" t="n"/>
      <c r="K49" s="143">
        <f>IFERROR(C49/SUMIFS(DATA_DIARIO!$D$2:$D$500,DATA_DIARIO!$B$2:$B$500,A49),0)</f>
        <v/>
      </c>
      <c r="L49" s="144" t="n"/>
      <c r="M49" s="157">
        <f>IFERROR(100-SUMIFS(DATA_DIARIO!$G$2:$G$500,DATA_DIARIO!$B$2:$B$500,A49)/(COUNTIFS(DATA_DIARIO!$B$2:$B$500,A49)*DATA_CONFIG!$B$7*60)*100,0)</f>
        <v/>
      </c>
      <c r="N49" s="144" t="n"/>
      <c r="O49" s="147">
        <f>ROUND(SUMIFS(DATA_TM!$F$2:$F$500,DATA_TM!$B$2:$B$500,A49,DATA_TM!$E$2:$E$500,"Mantención")/60,1)</f>
        <v/>
      </c>
      <c r="P49" s="144" t="n"/>
      <c r="Q49" s="151">
        <f>ROUND(SUMIFS(DATA_TM!$F$2:$F$500,DATA_TM!$B$2:$B$500,A49,DATA_TM!$E$2:$E$500,"Operacional")/60,1)</f>
        <v/>
      </c>
      <c r="R49" s="144" t="n"/>
      <c r="S49" s="164">
        <f>ROUND(SUMIFS(DATA_TM!$F$2:$F$500,DATA_TM!$B$2:$B$500,A49,DATA_TM!$E$2:$E$500,"Proceso")/60,1)</f>
        <v/>
      </c>
      <c r="T49" s="144" t="n"/>
      <c r="U49" s="92">
        <f>IFERROR((E49-C49)/DATA_CONFIG!$B$9,0)</f>
        <v/>
      </c>
    </row>
    <row r="50">
      <c r="A50" s="148" t="inlineStr">
        <is>
          <t>Millalemu 1.3</t>
        </is>
      </c>
      <c r="B50" s="144" t="n"/>
      <c r="C50" s="154">
        <f>SUMIFS(DATA_DIARIO!$C$2:$C$500,DATA_DIARIO!$B$2:$B$500,A50)</f>
        <v/>
      </c>
      <c r="D50" s="144" t="n"/>
      <c r="E50" s="152">
        <f>DATA_CONFIG!B14</f>
        <v/>
      </c>
      <c r="F50" s="144" t="n"/>
      <c r="G50" s="172">
        <f>IFERROR((C50+I50*DATA_CONFIG!$B$9)/E50*100,0)</f>
        <v/>
      </c>
      <c r="H50" s="144" t="n"/>
      <c r="I50" s="143">
        <f>IFERROR(C50/COUNTIFS(DATA_DIARIO!$B$2:$B$500,A50),0)</f>
        <v/>
      </c>
      <c r="J50" s="144" t="n"/>
      <c r="K50" s="143">
        <f>IFERROR(C50/SUMIFS(DATA_DIARIO!$D$2:$D$500,DATA_DIARIO!$B$2:$B$500,A50),0)</f>
        <v/>
      </c>
      <c r="L50" s="144" t="n"/>
      <c r="M50" s="157">
        <f>IFERROR(100-SUMIFS(DATA_DIARIO!$G$2:$G$500,DATA_DIARIO!$B$2:$B$500,A50)/(COUNTIFS(DATA_DIARIO!$B$2:$B$500,A50)*DATA_CONFIG!$B$7*60)*100,0)</f>
        <v/>
      </c>
      <c r="N50" s="144" t="n"/>
      <c r="O50" s="147">
        <f>ROUND(SUMIFS(DATA_TM!$F$2:$F$500,DATA_TM!$B$2:$B$500,A50,DATA_TM!$E$2:$E$500,"Mantención")/60,1)</f>
        <v/>
      </c>
      <c r="P50" s="144" t="n"/>
      <c r="Q50" s="151">
        <f>ROUND(SUMIFS(DATA_TM!$F$2:$F$500,DATA_TM!$B$2:$B$500,A50,DATA_TM!$E$2:$E$500,"Operacional")/60,1)</f>
        <v/>
      </c>
      <c r="R50" s="144" t="n"/>
      <c r="S50" s="164">
        <f>ROUND(SUMIFS(DATA_TM!$F$2:$F$500,DATA_TM!$B$2:$B$500,A50,DATA_TM!$E$2:$E$500,"Proceso")/60,1)</f>
        <v/>
      </c>
      <c r="T50" s="144" t="n"/>
      <c r="U50" s="92">
        <f>IFERROR((E50-C50)/DATA_CONFIG!$B$9,0)</f>
        <v/>
      </c>
    </row>
    <row r="51">
      <c r="A51" s="148" t="inlineStr">
        <is>
          <t>Millalemu 1.4</t>
        </is>
      </c>
      <c r="B51" s="144" t="n"/>
      <c r="C51" s="154">
        <f>SUMIFS(DATA_DIARIO!$C$2:$C$500,DATA_DIARIO!$B$2:$B$500,A51)</f>
        <v/>
      </c>
      <c r="D51" s="144" t="n"/>
      <c r="E51" s="152">
        <f>DATA_CONFIG!B15</f>
        <v/>
      </c>
      <c r="F51" s="144" t="n"/>
      <c r="G51" s="172">
        <f>IFERROR((C51+I51*DATA_CONFIG!$B$9)/E51*100,0)</f>
        <v/>
      </c>
      <c r="H51" s="144" t="n"/>
      <c r="I51" s="143">
        <f>IFERROR(C51/COUNTIFS(DATA_DIARIO!$B$2:$B$500,A51),0)</f>
        <v/>
      </c>
      <c r="J51" s="144" t="n"/>
      <c r="K51" s="143">
        <f>IFERROR(C51/SUMIFS(DATA_DIARIO!$D$2:$D$500,DATA_DIARIO!$B$2:$B$500,A51),0)</f>
        <v/>
      </c>
      <c r="L51" s="144" t="n"/>
      <c r="M51" s="157">
        <f>IFERROR(100-SUMIFS(DATA_DIARIO!$G$2:$G$500,DATA_DIARIO!$B$2:$B$500,A51)/(COUNTIFS(DATA_DIARIO!$B$2:$B$500,A51)*DATA_CONFIG!$B$7*60)*100,0)</f>
        <v/>
      </c>
      <c r="N51" s="144" t="n"/>
      <c r="O51" s="147">
        <f>ROUND(SUMIFS(DATA_TM!$F$2:$F$500,DATA_TM!$B$2:$B$500,A51,DATA_TM!$E$2:$E$500,"Mantención")/60,1)</f>
        <v/>
      </c>
      <c r="P51" s="144" t="n"/>
      <c r="Q51" s="151">
        <f>ROUND(SUMIFS(DATA_TM!$F$2:$F$500,DATA_TM!$B$2:$B$500,A51,DATA_TM!$E$2:$E$500,"Operacional")/60,1)</f>
        <v/>
      </c>
      <c r="R51" s="144" t="n"/>
      <c r="S51" s="164">
        <f>ROUND(SUMIFS(DATA_TM!$F$2:$F$500,DATA_TM!$B$2:$B$500,A51,DATA_TM!$E$2:$E$500,"Proceso")/60,1)</f>
        <v/>
      </c>
      <c r="T51" s="144" t="n"/>
      <c r="U51" s="92">
        <f>IFERROR((E51-C51)/DATA_CONFIG!$B$9,0)</f>
        <v/>
      </c>
    </row>
    <row r="52">
      <c r="A52" s="148" t="inlineStr">
        <is>
          <t>Millalemu 5</t>
        </is>
      </c>
      <c r="B52" s="144" t="n"/>
      <c r="C52" s="154">
        <f>SUMIFS(DATA_DIARIO!$C$2:$C$500,DATA_DIARIO!$B$2:$B$500,A52)</f>
        <v/>
      </c>
      <c r="D52" s="144" t="n"/>
      <c r="E52" s="152">
        <f>DATA_CONFIG!B16</f>
        <v/>
      </c>
      <c r="F52" s="144" t="n"/>
      <c r="G52" s="172">
        <f>IFERROR((C52+I52*DATA_CONFIG!$B$9)/E52*100,0)</f>
        <v/>
      </c>
      <c r="H52" s="144" t="n"/>
      <c r="I52" s="143">
        <f>IFERROR(C52/COUNTIFS(DATA_DIARIO!$B$2:$B$500,A52),0)</f>
        <v/>
      </c>
      <c r="J52" s="144" t="n"/>
      <c r="K52" s="143">
        <f>IFERROR(C52/SUMIFS(DATA_DIARIO!$D$2:$D$500,DATA_DIARIO!$B$2:$B$500,A52),0)</f>
        <v/>
      </c>
      <c r="L52" s="144" t="n"/>
      <c r="M52" s="157">
        <f>IFERROR(100-SUMIFS(DATA_DIARIO!$G$2:$G$500,DATA_DIARIO!$B$2:$B$500,A52)/(COUNTIFS(DATA_DIARIO!$B$2:$B$500,A52)*DATA_CONFIG!$B$7*60)*100,0)</f>
        <v/>
      </c>
      <c r="N52" s="144" t="n"/>
      <c r="O52" s="147">
        <f>ROUND(SUMIFS(DATA_TM!$F$2:$F$500,DATA_TM!$B$2:$B$500,A52,DATA_TM!$E$2:$E$500,"Mantención")/60,1)</f>
        <v/>
      </c>
      <c r="P52" s="144" t="n"/>
      <c r="Q52" s="151">
        <f>ROUND(SUMIFS(DATA_TM!$F$2:$F$500,DATA_TM!$B$2:$B$500,A52,DATA_TM!$E$2:$E$500,"Operacional")/60,1)</f>
        <v/>
      </c>
      <c r="R52" s="144" t="n"/>
      <c r="S52" s="164">
        <f>ROUND(SUMIFS(DATA_TM!$F$2:$F$500,DATA_TM!$B$2:$B$500,A52,DATA_TM!$E$2:$E$500,"Proceso")/60,1)</f>
        <v/>
      </c>
      <c r="T52" s="144" t="n"/>
      <c r="U52" s="92">
        <f>IFERROR((E52-C52)/DATA_CONFIG!$B$9,0)</f>
        <v/>
      </c>
    </row>
    <row r="53">
      <c r="A53" s="148" t="inlineStr">
        <is>
          <t>Millalemu 7</t>
        </is>
      </c>
      <c r="B53" s="144" t="n"/>
      <c r="C53" s="154">
        <f>SUMIFS(DATA_DIARIO!$C$2:$C$500,DATA_DIARIO!$B$2:$B$500,A53)</f>
        <v/>
      </c>
      <c r="D53" s="144" t="n"/>
      <c r="E53" s="152">
        <f>DATA_CONFIG!B17</f>
        <v/>
      </c>
      <c r="F53" s="144" t="n"/>
      <c r="G53" s="172">
        <f>IFERROR((C53+I53*DATA_CONFIG!$B$9)/E53*100,0)</f>
        <v/>
      </c>
      <c r="H53" s="144" t="n"/>
      <c r="I53" s="143">
        <f>IFERROR(C53/COUNTIFS(DATA_DIARIO!$B$2:$B$500,A53),0)</f>
        <v/>
      </c>
      <c r="J53" s="144" t="n"/>
      <c r="K53" s="143">
        <f>IFERROR(C53/SUMIFS(DATA_DIARIO!$D$2:$D$500,DATA_DIARIO!$B$2:$B$500,A53),0)</f>
        <v/>
      </c>
      <c r="L53" s="144" t="n"/>
      <c r="M53" s="157">
        <f>IFERROR(100-SUMIFS(DATA_DIARIO!$G$2:$G$500,DATA_DIARIO!$B$2:$B$500,A53)/(COUNTIFS(DATA_DIARIO!$B$2:$B$500,A53)*DATA_CONFIG!$B$7*60)*100,0)</f>
        <v/>
      </c>
      <c r="N53" s="144" t="n"/>
      <c r="O53" s="147">
        <f>ROUND(SUMIFS(DATA_TM!$F$2:$F$500,DATA_TM!$B$2:$B$500,A53,DATA_TM!$E$2:$E$500,"Mantención")/60,1)</f>
        <v/>
      </c>
      <c r="P53" s="144" t="n"/>
      <c r="Q53" s="151">
        <f>ROUND(SUMIFS(DATA_TM!$F$2:$F$500,DATA_TM!$B$2:$B$500,A53,DATA_TM!$E$2:$E$500,"Operacional")/60,1)</f>
        <v/>
      </c>
      <c r="R53" s="144" t="n"/>
      <c r="S53" s="164">
        <f>ROUND(SUMIFS(DATA_TM!$F$2:$F$500,DATA_TM!$B$2:$B$500,A53,DATA_TM!$E$2:$E$500,"Proceso")/60,1)</f>
        <v/>
      </c>
      <c r="T53" s="144" t="n"/>
      <c r="U53" s="92">
        <f>IFERROR((E53-C53)/DATA_CONFIG!$B$9,0)</f>
        <v/>
      </c>
    </row>
    <row r="54">
      <c r="A54" s="148" t="inlineStr">
        <is>
          <t>Millalemu 9</t>
        </is>
      </c>
      <c r="B54" s="144" t="n"/>
      <c r="C54" s="154">
        <f>SUMIFS(DATA_DIARIO!$C$2:$C$500,DATA_DIARIO!$B$2:$B$500,A54)</f>
        <v/>
      </c>
      <c r="D54" s="144" t="n"/>
      <c r="E54" s="152">
        <f>DATA_CONFIG!B18</f>
        <v/>
      </c>
      <c r="F54" s="144" t="n"/>
      <c r="G54" s="172">
        <f>IFERROR((C54+I54*DATA_CONFIG!$B$9)/E54*100,0)</f>
        <v/>
      </c>
      <c r="H54" s="144" t="n"/>
      <c r="I54" s="143">
        <f>IFERROR(C54/COUNTIFS(DATA_DIARIO!$B$2:$B$500,A54),0)</f>
        <v/>
      </c>
      <c r="J54" s="144" t="n"/>
      <c r="K54" s="143">
        <f>IFERROR(C54/SUMIFS(DATA_DIARIO!$D$2:$D$500,DATA_DIARIO!$B$2:$B$500,A54),0)</f>
        <v/>
      </c>
      <c r="L54" s="144" t="n"/>
      <c r="M54" s="157">
        <f>IFERROR(100-SUMIFS(DATA_DIARIO!$G$2:$G$500,DATA_DIARIO!$B$2:$B$500,A54)/(COUNTIFS(DATA_DIARIO!$B$2:$B$500,A54)*DATA_CONFIG!$B$7*60)*100,0)</f>
        <v/>
      </c>
      <c r="N54" s="144" t="n"/>
      <c r="O54" s="147">
        <f>ROUND(SUMIFS(DATA_TM!$F$2:$F$500,DATA_TM!$B$2:$B$500,A54,DATA_TM!$E$2:$E$500,"Mantención")/60,1)</f>
        <v/>
      </c>
      <c r="P54" s="144" t="n"/>
      <c r="Q54" s="151">
        <f>ROUND(SUMIFS(DATA_TM!$F$2:$F$500,DATA_TM!$B$2:$B$500,A54,DATA_TM!$E$2:$E$500,"Operacional")/60,1)</f>
        <v/>
      </c>
      <c r="R54" s="144" t="n"/>
      <c r="S54" s="164">
        <f>ROUND(SUMIFS(DATA_TM!$F$2:$F$500,DATA_TM!$B$2:$B$500,A54,DATA_TM!$E$2:$E$500,"Proceso")/60,1)</f>
        <v/>
      </c>
      <c r="T54" s="144" t="n"/>
      <c r="U54" s="92">
        <f>IFERROR((E54-C54)/DATA_CONFIG!$B$9,0)</f>
        <v/>
      </c>
    </row>
    <row r="55">
      <c r="A55" s="148" t="inlineStr">
        <is>
          <t>Millalemu 11</t>
        </is>
      </c>
      <c r="B55" s="144" t="n"/>
      <c r="C55" s="154">
        <f>SUMIFS(DATA_DIARIO!$C$2:$C$500,DATA_DIARIO!$B$2:$B$500,A55)</f>
        <v/>
      </c>
      <c r="D55" s="144" t="n"/>
      <c r="E55" s="152">
        <f>DATA_CONFIG!B19</f>
        <v/>
      </c>
      <c r="F55" s="144" t="n"/>
      <c r="G55" s="172">
        <f>IFERROR((C55+I55*DATA_CONFIG!$B$9)/E55*100,0)</f>
        <v/>
      </c>
      <c r="H55" s="144" t="n"/>
      <c r="I55" s="143">
        <f>IFERROR(C55/COUNTIFS(DATA_DIARIO!$B$2:$B$500,A55),0)</f>
        <v/>
      </c>
      <c r="J55" s="144" t="n"/>
      <c r="K55" s="143">
        <f>IFERROR(C55/SUMIFS(DATA_DIARIO!$D$2:$D$500,DATA_DIARIO!$B$2:$B$500,A55),0)</f>
        <v/>
      </c>
      <c r="L55" s="144" t="n"/>
      <c r="M55" s="157">
        <f>IFERROR(100-SUMIFS(DATA_DIARIO!$G$2:$G$500,DATA_DIARIO!$B$2:$B$500,A55)/(COUNTIFS(DATA_DIARIO!$B$2:$B$500,A55)*DATA_CONFIG!$B$7*60)*100,0)</f>
        <v/>
      </c>
      <c r="N55" s="144" t="n"/>
      <c r="O55" s="147">
        <f>ROUND(SUMIFS(DATA_TM!$F$2:$F$500,DATA_TM!$B$2:$B$500,A55,DATA_TM!$E$2:$E$500,"Mantención")/60,1)</f>
        <v/>
      </c>
      <c r="P55" s="144" t="n"/>
      <c r="Q55" s="151">
        <f>ROUND(SUMIFS(DATA_TM!$F$2:$F$500,DATA_TM!$B$2:$B$500,A55,DATA_TM!$E$2:$E$500,"Operacional")/60,1)</f>
        <v/>
      </c>
      <c r="R55" s="144" t="n"/>
      <c r="S55" s="164">
        <f>ROUND(SUMIFS(DATA_TM!$F$2:$F$500,DATA_TM!$B$2:$B$500,A55,DATA_TM!$E$2:$E$500,"Proceso")/60,1)</f>
        <v/>
      </c>
      <c r="T55" s="144" t="n"/>
      <c r="U55" s="92">
        <f>IFERROR((E55-C55)/DATA_CONFIG!$B$9,0)</f>
        <v/>
      </c>
    </row>
    <row r="56">
      <c r="A56" s="162" t="inlineStr">
        <is>
          <t>TOTAL</t>
        </is>
      </c>
      <c r="B56" s="144" t="n"/>
      <c r="C56" s="163">
        <f>SUM(C48:C55)</f>
        <v/>
      </c>
      <c r="D56" s="144" t="n"/>
      <c r="E56" s="181">
        <f>SUM(E48:E55)</f>
        <v/>
      </c>
      <c r="F56" s="144" t="n"/>
      <c r="G56" s="182" t="n"/>
      <c r="H56" s="144" t="n"/>
      <c r="I56" s="163">
        <f>IFERROR(C56/DATA_CONFIG!B8,0)</f>
        <v/>
      </c>
      <c r="J56" s="144" t="n"/>
      <c r="K56" s="163" t="n"/>
      <c r="L56" s="144" t="n"/>
      <c r="M56" s="186">
        <f>IFERROR(AVERAGE(M48:M55),0)</f>
        <v/>
      </c>
      <c r="N56" s="144" t="n"/>
      <c r="O56" s="163">
        <f>SUM(O48:O55)</f>
        <v/>
      </c>
      <c r="P56" s="144" t="n"/>
      <c r="Q56" s="163">
        <f>SUM(Q48:Q55)</f>
        <v/>
      </c>
      <c r="R56" s="144" t="n"/>
      <c r="S56" s="163">
        <f>SUM(S48:S55)</f>
        <v/>
      </c>
      <c r="T56" s="144" t="n"/>
      <c r="U56" s="163">
        <f>SUM(U48:U55)</f>
        <v/>
      </c>
    </row>
    <row r="57" ht="9" customHeight="1" s="150"/>
    <row r="58">
      <c r="A58" s="179" t="inlineStr">
        <is>
          <t>TOP CAUSAS DE TIEMPOS MUERTOS — PARETO</t>
        </is>
      </c>
    </row>
    <row r="59">
      <c r="A59" s="146" t="inlineStr">
        <is>
          <t>#</t>
        </is>
      </c>
      <c r="B59" s="146" t="inlineStr">
        <is>
          <t>Causa</t>
        </is>
      </c>
      <c r="C59" s="160" t="n"/>
      <c r="D59" s="160" t="n"/>
      <c r="E59" s="160" t="n"/>
      <c r="F59" s="144" t="n"/>
      <c r="G59" s="146" t="inlineStr">
        <is>
          <t>Clasificación</t>
        </is>
      </c>
      <c r="H59" s="144" t="n"/>
      <c r="I59" s="146" t="inlineStr">
        <is>
          <t>Minutos</t>
        </is>
      </c>
      <c r="J59" s="144" t="n"/>
      <c r="K59" s="146" t="inlineStr">
        <is>
          <t>Horas</t>
        </is>
      </c>
      <c r="L59" s="144" t="n"/>
      <c r="M59" s="146" t="inlineStr">
        <is>
          <t>% del Total</t>
        </is>
      </c>
      <c r="N59" s="144" t="n"/>
      <c r="O59" s="146" t="inlineStr">
        <is>
          <t>Acum. %</t>
        </is>
      </c>
      <c r="P59" s="144" t="n"/>
      <c r="Q59" s="146" t="inlineStr">
        <is>
          <t>Equipos Afectados</t>
        </is>
      </c>
      <c r="R59" s="160" t="n"/>
      <c r="S59" s="160" t="n"/>
      <c r="T59" s="160" t="n"/>
      <c r="U59" s="144" t="n"/>
    </row>
    <row r="60">
      <c r="A60" s="93" t="n">
        <v>1</v>
      </c>
      <c r="B60" s="159" t="inlineStr">
        <is>
          <t>Reparacion/Falla equipo de Trozado</t>
        </is>
      </c>
      <c r="C60" s="160" t="n"/>
      <c r="D60" s="160" t="n"/>
      <c r="E60" s="160" t="n"/>
      <c r="F60" s="144" t="n"/>
      <c r="G60" s="170" t="inlineStr">
        <is>
          <t>Mantención</t>
        </is>
      </c>
      <c r="H60" s="144" t="n"/>
      <c r="I60" s="171" t="n">
        <v>2100</v>
      </c>
      <c r="J60" s="144" t="n"/>
      <c r="K60" s="173" t="n">
        <v>35</v>
      </c>
      <c r="L60" s="144" t="n"/>
      <c r="M60" s="153" t="n">
        <v>33.5</v>
      </c>
      <c r="N60" s="144" t="n"/>
      <c r="O60" s="161" t="n">
        <v>33.5</v>
      </c>
      <c r="P60" s="144" t="n"/>
      <c r="Q60" s="175" t="inlineStr">
        <is>
          <t>Millalemu 1.1, Millalemu 1.3, Millalemu 1.4, Millalemu 5, Millalemu 9</t>
        </is>
      </c>
      <c r="R60" s="160" t="n"/>
      <c r="S60" s="160" t="n"/>
      <c r="T60" s="160" t="n"/>
      <c r="U60" s="144" t="n"/>
    </row>
    <row r="61">
      <c r="A61" s="93" t="n">
        <v>2</v>
      </c>
      <c r="B61" s="159" t="inlineStr">
        <is>
          <t>Reparacion/Falla equipo de volteo</t>
        </is>
      </c>
      <c r="C61" s="160" t="n"/>
      <c r="D61" s="160" t="n"/>
      <c r="E61" s="160" t="n"/>
      <c r="F61" s="144" t="n"/>
      <c r="G61" s="170" t="inlineStr">
        <is>
          <t>Mantención</t>
        </is>
      </c>
      <c r="H61" s="144" t="n"/>
      <c r="I61" s="171" t="n">
        <v>1050</v>
      </c>
      <c r="J61" s="144" t="n"/>
      <c r="K61" s="173" t="n">
        <v>17.5</v>
      </c>
      <c r="L61" s="144" t="n"/>
      <c r="M61" s="153" t="n">
        <v>16.7</v>
      </c>
      <c r="N61" s="144" t="n"/>
      <c r="O61" s="161" t="n">
        <v>50.2</v>
      </c>
      <c r="P61" s="144" t="n"/>
      <c r="Q61" s="175" t="inlineStr">
        <is>
          <t>Millalemu 1.1, Millalemu 1.2, Millalemu 1.4</t>
        </is>
      </c>
      <c r="R61" s="160" t="n"/>
      <c r="S61" s="160" t="n"/>
      <c r="T61" s="160" t="n"/>
      <c r="U61" s="144" t="n"/>
    </row>
    <row r="62">
      <c r="A62" s="93" t="n">
        <v>3</v>
      </c>
      <c r="B62" s="159" t="inlineStr">
        <is>
          <t>Falta de volteo o desrame</t>
        </is>
      </c>
      <c r="C62" s="160" t="n"/>
      <c r="D62" s="160" t="n"/>
      <c r="E62" s="160" t="n"/>
      <c r="F62" s="144" t="n"/>
      <c r="G62" s="174" t="inlineStr">
        <is>
          <t>Operacional</t>
        </is>
      </c>
      <c r="H62" s="144" t="n"/>
      <c r="I62" s="171" t="n">
        <v>900</v>
      </c>
      <c r="J62" s="144" t="n"/>
      <c r="K62" s="173" t="n">
        <v>15</v>
      </c>
      <c r="L62" s="144" t="n"/>
      <c r="M62" s="153" t="n">
        <v>14.4</v>
      </c>
      <c r="N62" s="144" t="n"/>
      <c r="O62" s="161" t="n">
        <v>64.59999999999999</v>
      </c>
      <c r="P62" s="144" t="n"/>
      <c r="Q62" s="175" t="inlineStr">
        <is>
          <t>Millalemu 1.2, Millalemu 1.4</t>
        </is>
      </c>
      <c r="R62" s="160" t="n"/>
      <c r="S62" s="160" t="n"/>
      <c r="T62" s="160" t="n"/>
      <c r="U62" s="144" t="n"/>
    </row>
    <row r="63">
      <c r="A63" s="93" t="n">
        <v>4</v>
      </c>
      <c r="B63" s="159" t="inlineStr">
        <is>
          <t>Reparacion/Falla de equipo de madereo</t>
        </is>
      </c>
      <c r="C63" s="160" t="n"/>
      <c r="D63" s="160" t="n"/>
      <c r="E63" s="160" t="n"/>
      <c r="F63" s="144" t="n"/>
      <c r="G63" s="170" t="inlineStr">
        <is>
          <t>Mantención</t>
        </is>
      </c>
      <c r="H63" s="144" t="n"/>
      <c r="I63" s="171" t="n">
        <v>480</v>
      </c>
      <c r="J63" s="144" t="n"/>
      <c r="K63" s="173" t="n">
        <v>8</v>
      </c>
      <c r="L63" s="144" t="n"/>
      <c r="M63" s="153" t="n">
        <v>7.7</v>
      </c>
      <c r="N63" s="144" t="n"/>
      <c r="O63" s="161" t="n">
        <v>72.2</v>
      </c>
      <c r="P63" s="144" t="n"/>
      <c r="Q63" s="175" t="inlineStr">
        <is>
          <t>Millalemu 1.2, Millalemu 1.4</t>
        </is>
      </c>
      <c r="R63" s="160" t="n"/>
      <c r="S63" s="160" t="n"/>
      <c r="T63" s="160" t="n"/>
      <c r="U63" s="144" t="n"/>
    </row>
    <row r="64">
      <c r="A64" s="93" t="n">
        <v>5</v>
      </c>
      <c r="B64" s="159" t="inlineStr">
        <is>
          <t>Traslados otro predio</t>
        </is>
      </c>
      <c r="C64" s="160" t="n"/>
      <c r="D64" s="160" t="n"/>
      <c r="E64" s="160" t="n"/>
      <c r="F64" s="144" t="n"/>
      <c r="G64" s="174" t="inlineStr">
        <is>
          <t>Operacional</t>
        </is>
      </c>
      <c r="H64" s="144" t="n"/>
      <c r="I64" s="171" t="n">
        <v>420</v>
      </c>
      <c r="J64" s="144" t="n"/>
      <c r="K64" s="173" t="n">
        <v>7</v>
      </c>
      <c r="L64" s="144" t="n"/>
      <c r="M64" s="153" t="n">
        <v>6.7</v>
      </c>
      <c r="N64" s="144" t="n"/>
      <c r="O64" s="161" t="n">
        <v>78.90000000000001</v>
      </c>
      <c r="P64" s="144" t="n"/>
      <c r="Q64" s="175" t="inlineStr">
        <is>
          <t>Millalemu 7</t>
        </is>
      </c>
      <c r="R64" s="160" t="n"/>
      <c r="S64" s="160" t="n"/>
      <c r="T64" s="160" t="n"/>
      <c r="U64" s="144" t="n"/>
    </row>
  </sheetData>
  <mergeCells count="229">
    <mergeCell ref="O7:P7"/>
    <mergeCell ref="K49:L49"/>
    <mergeCell ref="Q7:R7"/>
    <mergeCell ref="C6:D6"/>
    <mergeCell ref="M59:N59"/>
    <mergeCell ref="O53:P53"/>
    <mergeCell ref="A51:B51"/>
    <mergeCell ref="O6:P6"/>
    <mergeCell ref="A46:U46"/>
    <mergeCell ref="K4:L4"/>
    <mergeCell ref="E8:F8"/>
    <mergeCell ref="Q55:R55"/>
    <mergeCell ref="E51:F51"/>
    <mergeCell ref="M60:N60"/>
    <mergeCell ref="A54:B54"/>
    <mergeCell ref="C54:D54"/>
    <mergeCell ref="A7:B7"/>
    <mergeCell ref="Q51:R51"/>
    <mergeCell ref="M54:N54"/>
    <mergeCell ref="K50:L50"/>
    <mergeCell ref="M10:N10"/>
    <mergeCell ref="B60:F60"/>
    <mergeCell ref="O54:P54"/>
    <mergeCell ref="C50:D50"/>
    <mergeCell ref="O63:P63"/>
    <mergeCell ref="A56:B56"/>
    <mergeCell ref="C56:D56"/>
    <mergeCell ref="S49:T49"/>
    <mergeCell ref="K52:L52"/>
    <mergeCell ref="O55:P55"/>
    <mergeCell ref="E49:F49"/>
    <mergeCell ref="Q9:R9"/>
    <mergeCell ref="Q49:R49"/>
    <mergeCell ref="I52:J52"/>
    <mergeCell ref="M8:N8"/>
    <mergeCell ref="A53:B53"/>
    <mergeCell ref="O8:P8"/>
    <mergeCell ref="O60:P60"/>
    <mergeCell ref="K53:L53"/>
    <mergeCell ref="O11:P11"/>
    <mergeCell ref="Q11:R11"/>
    <mergeCell ref="M47:N47"/>
    <mergeCell ref="M62:N62"/>
    <mergeCell ref="E53:F53"/>
    <mergeCell ref="M50:N50"/>
    <mergeCell ref="A9:B9"/>
    <mergeCell ref="A1:U1"/>
    <mergeCell ref="C3:D3"/>
    <mergeCell ref="Q53:R53"/>
    <mergeCell ref="E3:F3"/>
    <mergeCell ref="A48:B48"/>
    <mergeCell ref="G59:H59"/>
    <mergeCell ref="O3:P3"/>
    <mergeCell ref="S47:T47"/>
    <mergeCell ref="I6:J6"/>
    <mergeCell ref="Q3:R3"/>
    <mergeCell ref="E55:F55"/>
    <mergeCell ref="A11:B11"/>
    <mergeCell ref="C5:D5"/>
    <mergeCell ref="E5:F5"/>
    <mergeCell ref="G61:H61"/>
    <mergeCell ref="Q52:R52"/>
    <mergeCell ref="E48:F48"/>
    <mergeCell ref="I61:J61"/>
    <mergeCell ref="S52:T52"/>
    <mergeCell ref="G48:H48"/>
    <mergeCell ref="K55:L55"/>
    <mergeCell ref="K64:L64"/>
    <mergeCell ref="C4:D4"/>
    <mergeCell ref="M64:N64"/>
    <mergeCell ref="E4:F4"/>
    <mergeCell ref="Q54:R54"/>
    <mergeCell ref="S48:T48"/>
    <mergeCell ref="K51:L51"/>
    <mergeCell ref="C47:D47"/>
    <mergeCell ref="M51:N51"/>
    <mergeCell ref="I54:J54"/>
    <mergeCell ref="G7:H7"/>
    <mergeCell ref="I7:J7"/>
    <mergeCell ref="K63:L63"/>
    <mergeCell ref="G62:H62"/>
    <mergeCell ref="I56:J56"/>
    <mergeCell ref="Q60:U60"/>
    <mergeCell ref="K56:L56"/>
    <mergeCell ref="G49:H49"/>
    <mergeCell ref="M7:N7"/>
    <mergeCell ref="O51:P51"/>
    <mergeCell ref="Q59:U59"/>
    <mergeCell ref="T5:U6"/>
    <mergeCell ref="O62:P62"/>
    <mergeCell ref="O56:P56"/>
    <mergeCell ref="I8:J8"/>
    <mergeCell ref="A58:U58"/>
    <mergeCell ref="A8:B8"/>
    <mergeCell ref="C8:D8"/>
    <mergeCell ref="Q61:U61"/>
    <mergeCell ref="A52:B52"/>
    <mergeCell ref="I10:J10"/>
    <mergeCell ref="A10:B10"/>
    <mergeCell ref="K10:L10"/>
    <mergeCell ref="I59:J59"/>
    <mergeCell ref="M63:N63"/>
    <mergeCell ref="S50:T50"/>
    <mergeCell ref="G60:H60"/>
    <mergeCell ref="K6:L6"/>
    <mergeCell ref="C53:D53"/>
    <mergeCell ref="I60:J60"/>
    <mergeCell ref="G9:H9"/>
    <mergeCell ref="M53:N53"/>
    <mergeCell ref="I9:J9"/>
    <mergeCell ref="K3:L3"/>
    <mergeCell ref="S51:T51"/>
    <mergeCell ref="E50:F50"/>
    <mergeCell ref="B62:F62"/>
    <mergeCell ref="A49:B49"/>
    <mergeCell ref="G11:H11"/>
    <mergeCell ref="M55:N55"/>
    <mergeCell ref="B59:F59"/>
    <mergeCell ref="I11:J11"/>
    <mergeCell ref="K9:L9"/>
    <mergeCell ref="K5:L5"/>
    <mergeCell ref="M9:N9"/>
    <mergeCell ref="M52:N52"/>
    <mergeCell ref="M5:N5"/>
    <mergeCell ref="M49:N49"/>
    <mergeCell ref="E52:F52"/>
    <mergeCell ref="O9:P9"/>
    <mergeCell ref="K54:L54"/>
    <mergeCell ref="M48:N48"/>
    <mergeCell ref="K60:L60"/>
    <mergeCell ref="K11:L11"/>
    <mergeCell ref="A2:U2"/>
    <mergeCell ref="M11:N11"/>
    <mergeCell ref="O5:P5"/>
    <mergeCell ref="I47:J47"/>
    <mergeCell ref="K47:L47"/>
    <mergeCell ref="Q5:R5"/>
    <mergeCell ref="Q63:U63"/>
    <mergeCell ref="O4:P4"/>
    <mergeCell ref="Q4:R4"/>
    <mergeCell ref="A55:B55"/>
    <mergeCell ref="E6:F6"/>
    <mergeCell ref="O59:P59"/>
    <mergeCell ref="K8:L8"/>
    <mergeCell ref="C51:D51"/>
    <mergeCell ref="I62:J62"/>
    <mergeCell ref="Q6:R6"/>
    <mergeCell ref="S53:T53"/>
    <mergeCell ref="A5:B5"/>
    <mergeCell ref="O47:P47"/>
    <mergeCell ref="C48:D48"/>
    <mergeCell ref="G64:H64"/>
    <mergeCell ref="O61:P61"/>
    <mergeCell ref="I64:J64"/>
    <mergeCell ref="A4:B4"/>
    <mergeCell ref="S55:T55"/>
    <mergeCell ref="G51:H51"/>
    <mergeCell ref="O48:P48"/>
    <mergeCell ref="K7:L7"/>
    <mergeCell ref="I51:J51"/>
    <mergeCell ref="E54:F54"/>
    <mergeCell ref="Q48:R48"/>
    <mergeCell ref="C7:D7"/>
    <mergeCell ref="G54:H54"/>
    <mergeCell ref="E7:F7"/>
    <mergeCell ref="G63:H63"/>
    <mergeCell ref="I63:J63"/>
    <mergeCell ref="S54:T54"/>
    <mergeCell ref="G50:H50"/>
    <mergeCell ref="B63:F63"/>
    <mergeCell ref="I50:J50"/>
    <mergeCell ref="E56:F56"/>
    <mergeCell ref="G56:H56"/>
    <mergeCell ref="C49:D49"/>
    <mergeCell ref="Q47:R47"/>
    <mergeCell ref="Q56:R56"/>
    <mergeCell ref="S56:T56"/>
    <mergeCell ref="G52:H52"/>
    <mergeCell ref="O10:P10"/>
    <mergeCell ref="I49:J49"/>
    <mergeCell ref="Q62:U62"/>
    <mergeCell ref="G8:H8"/>
    <mergeCell ref="A6:B6"/>
    <mergeCell ref="Q8:R8"/>
    <mergeCell ref="T4:U4"/>
    <mergeCell ref="C10:D10"/>
    <mergeCell ref="E10:F10"/>
    <mergeCell ref="O49:P49"/>
    <mergeCell ref="Q64:U64"/>
    <mergeCell ref="G10:H10"/>
    <mergeCell ref="C55:D55"/>
    <mergeCell ref="Q10:R10"/>
    <mergeCell ref="G53:H53"/>
    <mergeCell ref="B61:F61"/>
    <mergeCell ref="Q50:R50"/>
    <mergeCell ref="I53:J53"/>
    <mergeCell ref="G6:H6"/>
    <mergeCell ref="C9:D9"/>
    <mergeCell ref="E9:F9"/>
    <mergeCell ref="G3:H3"/>
    <mergeCell ref="I3:J3"/>
    <mergeCell ref="A50:B50"/>
    <mergeCell ref="K59:L59"/>
    <mergeCell ref="M6:N6"/>
    <mergeCell ref="I55:J55"/>
    <mergeCell ref="C11:D11"/>
    <mergeCell ref="O50:P50"/>
    <mergeCell ref="E11:F11"/>
    <mergeCell ref="A47:B47"/>
    <mergeCell ref="G5:H5"/>
    <mergeCell ref="I5:J5"/>
    <mergeCell ref="M3:N3"/>
    <mergeCell ref="C52:D52"/>
    <mergeCell ref="K61:L61"/>
    <mergeCell ref="I48:J48"/>
    <mergeCell ref="M61:N61"/>
    <mergeCell ref="K48:L48"/>
    <mergeCell ref="G55:H55"/>
    <mergeCell ref="O52:P52"/>
    <mergeCell ref="G4:H4"/>
    <mergeCell ref="O64:P64"/>
    <mergeCell ref="I4:J4"/>
    <mergeCell ref="G47:H47"/>
    <mergeCell ref="B64:F64"/>
    <mergeCell ref="A44:B44"/>
    <mergeCell ref="K62:L62"/>
    <mergeCell ref="M4:N4"/>
    <mergeCell ref="E47:F47"/>
    <mergeCell ref="M56:N56"/>
  </mergeCells>
  <conditionalFormatting sqref="C6">
    <cfRule type="expression" priority="365" dxfId="42">
      <formula>AND(C6&lt;&gt;"",C6&gt;=$C$4*0.9)</formula>
    </cfRule>
    <cfRule type="expression" priority="367" dxfId="40">
      <formula>AND(C6&lt;&gt;"",C6&lt;$C$4*0.75)</formula>
    </cfRule>
    <cfRule type="expression" priority="366" dxfId="47">
      <formula>AND(C6&lt;&gt;"",C6&gt;=$C$4*0.75)</formula>
    </cfRule>
  </conditionalFormatting>
  <conditionalFormatting sqref="C7">
    <cfRule type="cellIs" priority="343" operator="lessThan" dxfId="40">
      <formula>75</formula>
    </cfRule>
    <cfRule type="cellIs" priority="342" operator="greaterThanOrEqual" dxfId="47">
      <formula>75</formula>
    </cfRule>
    <cfRule type="cellIs" priority="341" operator="greaterThanOrEqual" dxfId="42">
      <formula>90</formula>
    </cfRule>
  </conditionalFormatting>
  <conditionalFormatting sqref="C9">
    <cfRule type="expression" priority="394" dxfId="40">
      <formula>AND(C9&lt;&gt;"",C9&lt;$C$8*0.75)</formula>
    </cfRule>
    <cfRule type="expression" priority="393" dxfId="47">
      <formula>AND(C9&lt;&gt;"",C9&gt;=$C$8*0.75)</formula>
    </cfRule>
    <cfRule type="expression" priority="392" dxfId="42">
      <formula>AND(C9&lt;&gt;"",C9&gt;=$C$8*0.9)</formula>
    </cfRule>
  </conditionalFormatting>
  <conditionalFormatting sqref="C13:C43">
    <cfRule type="expression" priority="287" dxfId="42">
      <formula>AND(C13&lt;&gt;"",C13&gt;=$C$5*0.9)</formula>
    </cfRule>
    <cfRule type="expression" priority="289" dxfId="40">
      <formula>AND(C13&lt;&gt;"",C13&lt;$C$5*0.75)</formula>
    </cfRule>
    <cfRule type="expression" priority="288" dxfId="47">
      <formula>AND(C13&lt;&gt;"",C13&gt;=$C$5*0.75)</formula>
    </cfRule>
  </conditionalFormatting>
  <conditionalFormatting sqref="C48:C55">
    <cfRule type="colorScale" priority="416">
      <colorScale>
        <cfvo type="min"/>
        <cfvo type="percentile" val="50"/>
        <cfvo type="max"/>
        <color rgb="FFF1948A"/>
        <color rgb="FFF9E79F"/>
        <color rgb="FF82E0AA"/>
      </colorScale>
    </cfRule>
  </conditionalFormatting>
  <conditionalFormatting sqref="C10:S10">
    <cfRule type="cellIs" priority="56" operator="greaterThanOrEqual" dxfId="42">
      <formula>0</formula>
    </cfRule>
    <cfRule type="cellIs" priority="57" operator="lessThan" dxfId="40">
      <formula>0</formula>
    </cfRule>
  </conditionalFormatting>
  <conditionalFormatting sqref="E6">
    <cfRule type="expression" priority="369" dxfId="47">
      <formula>AND(E6&lt;&gt;"",E6&gt;=$E$4*0.75)</formula>
    </cfRule>
    <cfRule type="expression" priority="368" dxfId="42">
      <formula>AND(E6&lt;&gt;"",E6&gt;=$E$4*0.9)</formula>
    </cfRule>
    <cfRule type="expression" priority="370" dxfId="40">
      <formula>AND(E6&lt;&gt;"",E6&lt;$E$4*0.75)</formula>
    </cfRule>
  </conditionalFormatting>
  <conditionalFormatting sqref="E7">
    <cfRule type="cellIs" priority="344" operator="greaterThanOrEqual" dxfId="42">
      <formula>90</formula>
    </cfRule>
    <cfRule type="cellIs" priority="346" operator="lessThan" dxfId="40">
      <formula>75</formula>
    </cfRule>
    <cfRule type="cellIs" priority="345" operator="greaterThanOrEqual" dxfId="47">
      <formula>75</formula>
    </cfRule>
  </conditionalFormatting>
  <conditionalFormatting sqref="E9">
    <cfRule type="expression" priority="395" dxfId="42">
      <formula>AND(E9&lt;&gt;"",E9&gt;=$E$8*0.9)</formula>
    </cfRule>
    <cfRule type="expression" priority="396" dxfId="47">
      <formula>AND(E9&lt;&gt;"",E9&gt;=$E$8*0.75)</formula>
    </cfRule>
    <cfRule type="expression" priority="397" dxfId="40">
      <formula>AND(E9&lt;&gt;"",E9&lt;$E$8*0.75)</formula>
    </cfRule>
  </conditionalFormatting>
  <conditionalFormatting sqref="E13:E43">
    <cfRule type="expression" priority="290" dxfId="42">
      <formula>AND(E13&lt;&gt;"",E13&gt;=$E$5*0.9)</formula>
    </cfRule>
    <cfRule type="expression" priority="291" dxfId="47">
      <formula>AND(E13&lt;&gt;"",E13&gt;=$E$5*0.75)</formula>
    </cfRule>
    <cfRule type="expression" priority="292" dxfId="40">
      <formula>AND(E13&lt;&gt;"",E13&lt;$E$5*0.75)</formula>
    </cfRule>
  </conditionalFormatting>
  <conditionalFormatting sqref="G6">
    <cfRule type="expression" priority="371" dxfId="42">
      <formula>AND(G6&lt;&gt;"",G6&gt;=$G$4*0.9)</formula>
    </cfRule>
    <cfRule type="expression" priority="373" dxfId="40">
      <formula>AND(G6&lt;&gt;"",G6&lt;$G$4*0.75)</formula>
    </cfRule>
    <cfRule type="expression" priority="372" dxfId="47">
      <formula>AND(G6&lt;&gt;"",G6&gt;=$G$4*0.75)</formula>
    </cfRule>
  </conditionalFormatting>
  <conditionalFormatting sqref="G7">
    <cfRule type="cellIs" priority="347" operator="greaterThanOrEqual" dxfId="42">
      <formula>90</formula>
    </cfRule>
    <cfRule type="cellIs" priority="348" operator="greaterThanOrEqual" dxfId="47">
      <formula>75</formula>
    </cfRule>
    <cfRule type="cellIs" priority="349" operator="lessThan" dxfId="40">
      <formula>75</formula>
    </cfRule>
  </conditionalFormatting>
  <conditionalFormatting sqref="G9">
    <cfRule type="expression" priority="398" dxfId="42">
      <formula>AND(G9&lt;&gt;"",G9&gt;=$G$8*0.9)</formula>
    </cfRule>
    <cfRule type="expression" priority="400" dxfId="40">
      <formula>AND(G9&lt;&gt;"",G9&lt;$G$8*0.75)</formula>
    </cfRule>
    <cfRule type="expression" priority="399" dxfId="47">
      <formula>AND(G9&lt;&gt;"",G9&gt;=$G$8*0.75)</formula>
    </cfRule>
  </conditionalFormatting>
  <conditionalFormatting sqref="G13:G43">
    <cfRule type="expression" priority="295" dxfId="40">
      <formula>AND(G13&lt;&gt;"",G13&lt;$G$5*0.75)</formula>
    </cfRule>
    <cfRule type="expression" priority="294" dxfId="47">
      <formula>AND(G13&lt;&gt;"",G13&gt;=$G$5*0.75)</formula>
    </cfRule>
    <cfRule type="expression" priority="293" dxfId="42">
      <formula>AND(G13&lt;&gt;"",G13&gt;=$G$5*0.9)</formula>
    </cfRule>
  </conditionalFormatting>
  <conditionalFormatting sqref="G48:G55">
    <cfRule type="cellIs" priority="417" operator="lessThan" dxfId="40">
      <formula>70</formula>
    </cfRule>
    <cfRule type="cellIs" priority="418" operator="between" dxfId="41">
      <formula>70</formula>
      <formula>90</formula>
    </cfRule>
    <cfRule type="cellIs" priority="419" operator="greaterThanOrEqual" dxfId="42">
      <formula>90</formula>
    </cfRule>
  </conditionalFormatting>
  <conditionalFormatting sqref="I6">
    <cfRule type="expression" priority="375" dxfId="47">
      <formula>AND(I6&lt;&gt;"",I6&gt;=$I$4*0.75)</formula>
    </cfRule>
    <cfRule type="expression" priority="374" dxfId="42">
      <formula>AND(I6&lt;&gt;"",I6&gt;=$I$4*0.9)</formula>
    </cfRule>
    <cfRule type="expression" priority="376" dxfId="40">
      <formula>AND(I6&lt;&gt;"",I6&lt;$I$4*0.75)</formula>
    </cfRule>
  </conditionalFormatting>
  <conditionalFormatting sqref="I7">
    <cfRule type="cellIs" priority="350" operator="greaterThanOrEqual" dxfId="42">
      <formula>90</formula>
    </cfRule>
    <cfRule type="cellIs" priority="351" operator="greaterThanOrEqual" dxfId="47">
      <formula>75</formula>
    </cfRule>
    <cfRule type="cellIs" priority="352" operator="lessThan" dxfId="40">
      <formula>75</formula>
    </cfRule>
  </conditionalFormatting>
  <conditionalFormatting sqref="I9">
    <cfRule type="expression" priority="401" dxfId="42">
      <formula>AND(I9&lt;&gt;"",I9&gt;=$I$8*0.9)</formula>
    </cfRule>
    <cfRule type="expression" priority="402" dxfId="47">
      <formula>AND(I9&lt;&gt;"",I9&gt;=$I$8*0.75)</formula>
    </cfRule>
    <cfRule type="expression" priority="403" dxfId="40">
      <formula>AND(I9&lt;&gt;"",I9&lt;$I$8*0.75)</formula>
    </cfRule>
  </conditionalFormatting>
  <conditionalFormatting sqref="I13:I43">
    <cfRule type="expression" priority="298" dxfId="40">
      <formula>AND(I13&lt;&gt;"",I13&lt;$I$5*0.75)</formula>
    </cfRule>
    <cfRule type="expression" priority="297" dxfId="47">
      <formula>AND(I13&lt;&gt;"",I13&gt;=$I$5*0.75)</formula>
    </cfRule>
    <cfRule type="expression" priority="296" dxfId="42">
      <formula>AND(I13&lt;&gt;"",I13&gt;=$I$5*0.9)</formula>
    </cfRule>
  </conditionalFormatting>
  <conditionalFormatting sqref="I48:I55">
    <cfRule type="colorScale" priority="420">
      <colorScale>
        <cfvo type="min"/>
        <cfvo type="percentile" val="50"/>
        <cfvo type="max"/>
        <color rgb="FFF1948A"/>
        <color rgb="FFF9E79F"/>
        <color rgb="FF82E0AA"/>
      </colorScale>
    </cfRule>
  </conditionalFormatting>
  <conditionalFormatting sqref="K6">
    <cfRule type="expression" priority="377" dxfId="42">
      <formula>AND(K6&lt;&gt;"",K6&gt;=$K$4*0.9)</formula>
    </cfRule>
    <cfRule type="expression" priority="378" dxfId="47">
      <formula>AND(K6&lt;&gt;"",K6&gt;=$K$4*0.75)</formula>
    </cfRule>
    <cfRule type="expression" priority="379" dxfId="40">
      <formula>AND(K6&lt;&gt;"",K6&lt;$K$4*0.75)</formula>
    </cfRule>
  </conditionalFormatting>
  <conditionalFormatting sqref="K7">
    <cfRule type="cellIs" priority="353" operator="greaterThanOrEqual" dxfId="42">
      <formula>90</formula>
    </cfRule>
    <cfRule type="cellIs" priority="354" operator="greaterThanOrEqual" dxfId="47">
      <formula>75</formula>
    </cfRule>
    <cfRule type="cellIs" priority="355" operator="lessThan" dxfId="40">
      <formula>75</formula>
    </cfRule>
  </conditionalFormatting>
  <conditionalFormatting sqref="K9">
    <cfRule type="expression" priority="404" dxfId="42">
      <formula>AND(K9&lt;&gt;"",K9&gt;=$K$8*0.9)</formula>
    </cfRule>
    <cfRule type="expression" priority="406" dxfId="40">
      <formula>AND(K9&lt;&gt;"",K9&lt;$K$8*0.75)</formula>
    </cfRule>
    <cfRule type="expression" priority="405" dxfId="47">
      <formula>AND(K9&lt;&gt;"",K9&gt;=$K$8*0.75)</formula>
    </cfRule>
  </conditionalFormatting>
  <conditionalFormatting sqref="K13:K43">
    <cfRule type="expression" priority="299" dxfId="42">
      <formula>AND(K13&lt;&gt;"",K13&gt;=$K$5*0.9)</formula>
    </cfRule>
    <cfRule type="expression" priority="300" dxfId="47">
      <formula>AND(K13&lt;&gt;"",K13&gt;=$K$5*0.75)</formula>
    </cfRule>
    <cfRule type="expression" priority="301" dxfId="40">
      <formula>AND(K13&lt;&gt;"",K13&lt;$K$5*0.75)</formula>
    </cfRule>
  </conditionalFormatting>
  <conditionalFormatting sqref="K48:K55">
    <cfRule type="colorScale" priority="421">
      <colorScale>
        <cfvo type="min"/>
        <cfvo type="percentile" val="50"/>
        <cfvo type="max"/>
        <color rgb="FFF1948A"/>
        <color rgb="FFF9E79F"/>
        <color rgb="FF82E0AA"/>
      </colorScale>
    </cfRule>
  </conditionalFormatting>
  <conditionalFormatting sqref="M6">
    <cfRule type="expression" priority="381" dxfId="47">
      <formula>AND(M6&lt;&gt;"",M6&gt;=$M$4*0.75)</formula>
    </cfRule>
    <cfRule type="expression" priority="382" dxfId="40">
      <formula>AND(M6&lt;&gt;"",M6&lt;$M$4*0.75)</formula>
    </cfRule>
    <cfRule type="expression" priority="380" dxfId="42">
      <formula>AND(M6&lt;&gt;"",M6&gt;=$M$4*0.9)</formula>
    </cfRule>
  </conditionalFormatting>
  <conditionalFormatting sqref="M7">
    <cfRule type="cellIs" priority="356" operator="greaterThanOrEqual" dxfId="42">
      <formula>90</formula>
    </cfRule>
    <cfRule type="cellIs" priority="358" operator="lessThan" dxfId="40">
      <formula>75</formula>
    </cfRule>
    <cfRule type="cellIs" priority="357" operator="greaterThanOrEqual" dxfId="47">
      <formula>75</formula>
    </cfRule>
  </conditionalFormatting>
  <conditionalFormatting sqref="M9">
    <cfRule type="expression" priority="407" dxfId="42">
      <formula>AND(M9&lt;&gt;"",M9&gt;=$M$8*0.9)</formula>
    </cfRule>
    <cfRule type="expression" priority="408" dxfId="47">
      <formula>AND(M9&lt;&gt;"",M9&gt;=$M$8*0.75)</formula>
    </cfRule>
    <cfRule type="expression" priority="409" dxfId="40">
      <formula>AND(M9&lt;&gt;"",M9&lt;$M$8*0.75)</formula>
    </cfRule>
  </conditionalFormatting>
  <conditionalFormatting sqref="M13:M43">
    <cfRule type="expression" priority="304" dxfId="40">
      <formula>AND(M13&lt;&gt;"",M13&lt;$M$5*0.75)</formula>
    </cfRule>
    <cfRule type="expression" priority="302" dxfId="42">
      <formula>AND(M13&lt;&gt;"",M13&gt;=$M$5*0.9)</formula>
    </cfRule>
    <cfRule type="expression" priority="303" dxfId="47">
      <formula>AND(M13&lt;&gt;"",M13&gt;=$M$5*0.75)</formula>
    </cfRule>
  </conditionalFormatting>
  <conditionalFormatting sqref="M48:M55">
    <cfRule type="cellIs" priority="424" operator="greaterThanOrEqual" dxfId="42">
      <formula>85</formula>
    </cfRule>
    <cfRule type="cellIs" priority="422" operator="lessThan" dxfId="40">
      <formula>70</formula>
    </cfRule>
    <cfRule type="cellIs" priority="423" operator="between" dxfId="41">
      <formula>70</formula>
      <formula>85</formula>
    </cfRule>
  </conditionalFormatting>
  <conditionalFormatting sqref="O6">
    <cfRule type="expression" priority="384" dxfId="47">
      <formula>AND(O6&lt;&gt;"",O6&gt;=$O$4*0.75)</formula>
    </cfRule>
    <cfRule type="expression" priority="383" dxfId="42">
      <formula>AND(O6&lt;&gt;"",O6&gt;=$O$4*0.9)</formula>
    </cfRule>
    <cfRule type="expression" priority="385" dxfId="40">
      <formula>AND(O6&lt;&gt;"",O6&lt;$O$4*0.75)</formula>
    </cfRule>
  </conditionalFormatting>
  <conditionalFormatting sqref="O7">
    <cfRule type="cellIs" priority="360" operator="greaterThanOrEqual" dxfId="47">
      <formula>75</formula>
    </cfRule>
    <cfRule type="cellIs" priority="361" operator="lessThan" dxfId="40">
      <formula>75</formula>
    </cfRule>
    <cfRule type="cellIs" priority="359" operator="greaterThanOrEqual" dxfId="42">
      <formula>90</formula>
    </cfRule>
  </conditionalFormatting>
  <conditionalFormatting sqref="O9">
    <cfRule type="expression" priority="411" dxfId="47">
      <formula>AND(O9&lt;&gt;"",O9&gt;=$O$8*0.75)</formula>
    </cfRule>
    <cfRule type="expression" priority="410" dxfId="42">
      <formula>AND(O9&lt;&gt;"",O9&gt;=$O$8*0.9)</formula>
    </cfRule>
    <cfRule type="expression" priority="412" dxfId="40">
      <formula>AND(O9&lt;&gt;"",O9&lt;$O$8*0.75)</formula>
    </cfRule>
  </conditionalFormatting>
  <conditionalFormatting sqref="O13:O43">
    <cfRule type="expression" priority="306" dxfId="47">
      <formula>AND(O13&lt;&gt;"",O13&gt;=$O$5*0.75)</formula>
    </cfRule>
    <cfRule type="expression" priority="307" dxfId="40">
      <formula>AND(O13&lt;&gt;"",O13&lt;$O$5*0.75)</formula>
    </cfRule>
    <cfRule type="expression" priority="305" dxfId="42">
      <formula>AND(O13&lt;&gt;"",O13&gt;=$O$5*0.9)</formula>
    </cfRule>
  </conditionalFormatting>
  <conditionalFormatting sqref="O48:O55">
    <cfRule type="cellIs" priority="427" operator="greaterThan" dxfId="40">
      <formula>15</formula>
    </cfRule>
    <cfRule type="cellIs" priority="426" operator="between" dxfId="41">
      <formula>5</formula>
      <formula>15</formula>
    </cfRule>
    <cfRule type="cellIs" priority="425" operator="lessThanOrEqual" dxfId="42">
      <formula>5</formula>
    </cfRule>
  </conditionalFormatting>
  <conditionalFormatting sqref="Q6">
    <cfRule type="expression" priority="386" dxfId="42">
      <formula>AND(Q6&lt;&gt;"",Q6&gt;=$Q$4*0.9)</formula>
    </cfRule>
    <cfRule type="expression" priority="387" dxfId="47">
      <formula>AND(Q6&lt;&gt;"",Q6&gt;=$Q$4*0.75)</formula>
    </cfRule>
    <cfRule type="expression" priority="388" dxfId="40">
      <formula>AND(Q6&lt;&gt;"",Q6&lt;$Q$4*0.75)</formula>
    </cfRule>
  </conditionalFormatting>
  <conditionalFormatting sqref="Q7">
    <cfRule type="cellIs" priority="364" operator="lessThan" dxfId="40">
      <formula>75</formula>
    </cfRule>
    <cfRule type="cellIs" priority="363" operator="greaterThanOrEqual" dxfId="47">
      <formula>75</formula>
    </cfRule>
    <cfRule type="cellIs" priority="362" operator="greaterThanOrEqual" dxfId="42">
      <formula>90</formula>
    </cfRule>
  </conditionalFormatting>
  <conditionalFormatting sqref="Q9">
    <cfRule type="expression" priority="414" dxfId="47">
      <formula>AND(Q9&lt;&gt;"",Q9&gt;=$Q$8*0.75)</formula>
    </cfRule>
    <cfRule type="expression" priority="415" dxfId="40">
      <formula>AND(Q9&lt;&gt;"",Q9&lt;$Q$8*0.75)</formula>
    </cfRule>
    <cfRule type="expression" priority="413" dxfId="42">
      <formula>AND(Q9&lt;&gt;"",Q9&gt;=$Q$8*0.9)</formula>
    </cfRule>
  </conditionalFormatting>
  <conditionalFormatting sqref="Q13:Q43">
    <cfRule type="expression" priority="309" dxfId="47">
      <formula>AND(Q13&lt;&gt;"",Q13&gt;=$Q$5*0.75)</formula>
    </cfRule>
    <cfRule type="expression" priority="308" dxfId="42">
      <formula>AND(Q13&lt;&gt;"",Q13&gt;=$Q$5*0.9)</formula>
    </cfRule>
    <cfRule type="expression" priority="310" dxfId="40">
      <formula>AND(Q13&lt;&gt;"",Q13&lt;$Q$5*0.75)</formula>
    </cfRule>
  </conditionalFormatting>
  <conditionalFormatting sqref="Q48:Q55">
    <cfRule type="cellIs" priority="429" operator="between" dxfId="41">
      <formula>5</formula>
      <formula>15</formula>
    </cfRule>
    <cfRule type="cellIs" priority="430" operator="greaterThan" dxfId="40">
      <formula>15</formula>
    </cfRule>
    <cfRule type="cellIs" priority="428" operator="lessThanOrEqual" dxfId="42">
      <formula>5</formula>
    </cfRule>
  </conditionalFormatting>
  <conditionalFormatting sqref="S6">
    <cfRule type="expression" priority="391" dxfId="40">
      <formula>AND(S6&lt;&gt;"",S6&lt;$S$4*0.75)</formula>
    </cfRule>
    <cfRule type="expression" priority="390" dxfId="47">
      <formula>AND(S6&lt;&gt;"",S6&gt;=$S$4*0.75)</formula>
    </cfRule>
    <cfRule type="expression" priority="389" dxfId="42">
      <formula>AND(S6&lt;&gt;"",S6&gt;=$S$4*0.9)</formula>
    </cfRule>
  </conditionalFormatting>
  <conditionalFormatting sqref="S7">
    <cfRule type="cellIs" priority="176" operator="lessThan" dxfId="40">
      <formula>75</formula>
    </cfRule>
    <cfRule type="cellIs" priority="174" operator="greaterThanOrEqual" dxfId="42">
      <formula>90</formula>
    </cfRule>
    <cfRule type="cellIs" priority="175" operator="greaterThanOrEqual" dxfId="47">
      <formula>75</formula>
    </cfRule>
  </conditionalFormatting>
  <conditionalFormatting sqref="S13:S43">
    <cfRule type="expression" priority="337" dxfId="40">
      <formula>AND(S13&lt;&gt;"",S13&lt;$S$5*0.75)</formula>
    </cfRule>
    <cfRule type="expression" priority="336" dxfId="47">
      <formula>AND(S13&lt;&gt;"",S13&gt;=$S$5*0.75)</formula>
    </cfRule>
    <cfRule type="expression" priority="335" dxfId="42">
      <formula>AND(S13&lt;&gt;"",S13&gt;=$S$5*0.9)</formula>
    </cfRule>
  </conditionalFormatting>
  <conditionalFormatting sqref="S44">
    <cfRule type="expression" priority="257" dxfId="42">
      <formula>S44&gt;=$S$8*0.9</formula>
    </cfRule>
    <cfRule type="expression" priority="258" dxfId="47">
      <formula>S44&gt;=$S$8*0.75</formula>
    </cfRule>
    <cfRule type="expression" priority="259" dxfId="40">
      <formula>S44&lt;$S$8*0.75</formula>
    </cfRule>
  </conditionalFormatting>
  <conditionalFormatting sqref="S48:S55">
    <cfRule type="cellIs" priority="431" operator="lessThanOrEqual" dxfId="42">
      <formula>3</formula>
    </cfRule>
    <cfRule type="cellIs" priority="432" operator="between" dxfId="41">
      <formula>3</formula>
      <formula>10</formula>
    </cfRule>
    <cfRule type="cellIs" priority="433" operator="greaterThan" dxfId="40">
      <formula>10</formula>
    </cfRule>
  </conditionalFormatting>
  <conditionalFormatting sqref="T5">
    <cfRule type="cellIs" priority="204" operator="greaterThanOrEqual" dxfId="42">
      <formula>90</formula>
    </cfRule>
    <cfRule type="cellIs" priority="205" operator="greaterThanOrEqual" dxfId="47">
      <formula>75</formula>
    </cfRule>
    <cfRule type="cellIs" priority="206" operator="lessThan" dxfId="40">
      <formula>75</formula>
    </cfRule>
  </conditionalFormatting>
  <conditionalFormatting sqref="T13:T43">
    <cfRule type="expression" priority="340" dxfId="40">
      <formula>AND(T13&lt;&gt;"",T13&lt;75)</formula>
    </cfRule>
    <cfRule type="expression" priority="339" dxfId="47">
      <formula>AND(T13&lt;&gt;"",T13&gt;=75)</formula>
    </cfRule>
    <cfRule type="expression" priority="338" dxfId="42">
      <formula>AND(T13&lt;&gt;"",T13&gt;=90)</formula>
    </cfRule>
  </conditionalFormatting>
  <conditionalFormatting sqref="T44">
    <cfRule type="cellIs" priority="261" operator="greaterThanOrEqual" dxfId="47">
      <formula>75</formula>
    </cfRule>
    <cfRule type="cellIs" priority="260" operator="greaterThanOrEqual" dxfId="42">
      <formula>90</formula>
    </cfRule>
    <cfRule type="cellIs" priority="262" operator="lessThan" dxfId="40">
      <formula>75</formula>
    </cfRule>
  </conditionalFormatting>
  <conditionalFormatting sqref="U8">
    <cfRule type="cellIs" priority="207" operator="greaterThanOrEqual" dxfId="42">
      <formula>0</formula>
    </cfRule>
    <cfRule type="cellIs" priority="208" operator="lessThan" dxfId="40">
      <formula>0</formula>
    </cfRule>
  </conditionalFormatting>
  <conditionalFormatting sqref="U48:U55">
    <cfRule type="cellIs" priority="434" operator="lessThanOrEqual" dxfId="42">
      <formula>200</formula>
    </cfRule>
    <cfRule type="cellIs" priority="435" operator="between" dxfId="41">
      <formula>200</formula>
      <formula>280</formula>
    </cfRule>
    <cfRule type="cellIs" priority="436" operator="greaterThan" dxfId="40">
      <formula>280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V112"/>
  <sheetViews>
    <sheetView zoomScale="160" zoomScaleNormal="160" workbookViewId="0">
      <pane xSplit="2" ySplit="9" topLeftCell="C27" activePane="bottomRight" state="frozen"/>
      <selection pane="topRight" activeCell="A1" sqref="A1"/>
      <selection pane="bottomLeft" activeCell="A1" sqref="A1"/>
      <selection pane="bottomRight" activeCell="X13" sqref="X13"/>
    </sheetView>
  </sheetViews>
  <sheetFormatPr baseColWidth="10" defaultColWidth="8.83203125" defaultRowHeight="15"/>
  <cols>
    <col width="6" customWidth="1" style="150" min="1" max="1"/>
    <col width="5" customWidth="1" style="150" min="2" max="2"/>
    <col width="5.33203125" customWidth="1" style="150" min="3" max="20"/>
    <col width="9" customWidth="1" style="150" min="21" max="21"/>
    <col width="14" customWidth="1" style="150" min="22" max="22"/>
  </cols>
  <sheetData>
    <row r="1" ht="30" customHeight="1" s="150">
      <c r="A1" s="233" t="inlineStr">
        <is>
          <t>TABLERO DE CONTROL DE TIEMPOS PERDIDOS — COSECHA FORESTAL MILLALEMU</t>
        </is>
      </c>
      <c r="B1" s="160" t="n"/>
      <c r="C1" s="160" t="n"/>
      <c r="D1" s="160" t="n"/>
      <c r="E1" s="160" t="n"/>
      <c r="F1" s="160" t="n"/>
      <c r="G1" s="160" t="n"/>
      <c r="H1" s="160" t="n"/>
      <c r="I1" s="160" t="n"/>
      <c r="J1" s="160" t="n"/>
      <c r="K1" s="160" t="n"/>
      <c r="L1" s="160" t="n"/>
      <c r="M1" s="160" t="n"/>
      <c r="N1" s="160" t="n"/>
      <c r="O1" s="160" t="n"/>
      <c r="P1" s="160" t="n"/>
      <c r="Q1" s="160" t="n"/>
      <c r="R1" s="160" t="n"/>
      <c r="S1" s="160" t="n"/>
      <c r="T1" s="160" t="n"/>
      <c r="U1" s="160" t="n"/>
      <c r="V1" s="144" t="n"/>
    </row>
    <row r="2" ht="20" customHeight="1" s="150">
      <c r="A2" s="238" t="inlineStr">
        <is>
          <t>Período: abril 2026  |  Días con datos: 5  |  Hrs TM totales: 104,5</t>
        </is>
      </c>
      <c r="B2" s="160" t="n"/>
      <c r="C2" s="160" t="n"/>
      <c r="D2" s="160" t="n"/>
      <c r="E2" s="160" t="n"/>
      <c r="F2" s="160" t="n"/>
      <c r="G2" s="160" t="n"/>
      <c r="H2" s="160" t="n"/>
      <c r="I2" s="160" t="n"/>
      <c r="J2" s="160" t="n"/>
      <c r="K2" s="160" t="n"/>
      <c r="L2" s="160" t="n"/>
      <c r="M2" s="160" t="n"/>
      <c r="N2" s="160" t="n"/>
      <c r="O2" s="160" t="n"/>
      <c r="P2" s="160" t="n"/>
      <c r="Q2" s="160" t="n"/>
      <c r="R2" s="160" t="n"/>
      <c r="S2" s="160" t="n"/>
      <c r="T2" s="160" t="n"/>
      <c r="U2" s="160" t="n"/>
      <c r="V2" s="144" t="n"/>
    </row>
    <row r="4">
      <c r="A4" s="193" t="inlineStr">
        <is>
          <t>RESUMEN EJECUTIVO — IMPACTO DE TIEMPOS MUERTOS</t>
        </is>
      </c>
      <c r="B4" s="160" t="n"/>
      <c r="C4" s="160" t="n"/>
      <c r="D4" s="160" t="n"/>
      <c r="E4" s="160" t="n"/>
      <c r="F4" s="160" t="n"/>
      <c r="G4" s="160" t="n"/>
      <c r="H4" s="160" t="n"/>
      <c r="I4" s="160" t="n"/>
      <c r="J4" s="160" t="n"/>
      <c r="K4" s="160" t="n"/>
      <c r="L4" s="160" t="n"/>
      <c r="M4" s="160" t="n"/>
      <c r="N4" s="160" t="n"/>
      <c r="O4" s="160" t="n"/>
      <c r="P4" s="160" t="n"/>
      <c r="Q4" s="160" t="n"/>
      <c r="R4" s="160" t="n"/>
      <c r="S4" s="160" t="n"/>
      <c r="T4" s="160" t="n"/>
      <c r="U4" s="160" t="n"/>
      <c r="V4" s="144" t="n"/>
    </row>
    <row r="5" ht="28" customHeight="1" s="150">
      <c r="A5" s="202" t="inlineStr">
        <is>
          <t>TM Total (hrs)</t>
        </is>
      </c>
      <c r="B5" s="160" t="n"/>
      <c r="C5" s="144" t="n"/>
      <c r="D5" s="202" t="inlineStr">
        <is>
          <t>TM Mantención (hrs)</t>
        </is>
      </c>
      <c r="E5" s="160" t="n"/>
      <c r="F5" s="144" t="n"/>
      <c r="G5" s="202" t="inlineStr">
        <is>
          <t>TM Operacional (hrs)</t>
        </is>
      </c>
      <c r="H5" s="160" t="n"/>
      <c r="I5" s="144" t="n"/>
      <c r="J5" s="202" t="inlineStr">
        <is>
          <t>TM Proceso (hrs)</t>
        </is>
      </c>
      <c r="K5" s="160" t="n"/>
      <c r="L5" s="144" t="n"/>
      <c r="M5" s="202" t="inlineStr">
        <is>
          <t>% Mantención</t>
        </is>
      </c>
      <c r="N5" s="160" t="n"/>
      <c r="O5" s="144" t="n"/>
      <c r="P5" s="202" t="inlineStr">
        <is>
          <t>Prom TM/día (hrs)</t>
        </is>
      </c>
      <c r="Q5" s="160" t="n"/>
      <c r="R5" s="144" t="n"/>
      <c r="S5" s="202" t="inlineStr">
        <is>
          <t>N° Eventos TM</t>
        </is>
      </c>
      <c r="T5" s="160" t="n"/>
      <c r="U5" s="160" t="n"/>
      <c r="V5" s="144" t="n"/>
    </row>
    <row r="6" ht="32" customHeight="1" s="150">
      <c r="A6" s="218">
        <f>ROUND(SUM(DATA_TM!F:F)/60,1)</f>
        <v/>
      </c>
      <c r="B6" s="160" t="n"/>
      <c r="C6" s="144" t="n"/>
      <c r="D6" s="209">
        <f>ROUND(SUMIFS(DATA_TM!F:F,DATA_TM!E:E,"Mantención")/60,1)</f>
        <v/>
      </c>
      <c r="E6" s="160" t="n"/>
      <c r="F6" s="144" t="n"/>
      <c r="G6" s="240">
        <f>ROUND(SUMIFS(DATA_TM!F:F,DATA_TM!E:E,"Operacional")/60,1)</f>
        <v/>
      </c>
      <c r="H6" s="160" t="n"/>
      <c r="I6" s="144" t="n"/>
      <c r="J6" s="232">
        <f>ROUND(SUMIFS(DATA_TM!F:F,DATA_TM!E:E,"Proceso")/60,1)</f>
        <v/>
      </c>
      <c r="K6" s="160" t="n"/>
      <c r="L6" s="144" t="n"/>
      <c r="M6" s="203">
        <f>IFERROR(SUMIFS(DATA_TM!F:F,DATA_TM!E:E,"Mantención")/SUM(DATA_TM!F:F)*100,0)</f>
        <v/>
      </c>
      <c r="N6" s="160" t="n"/>
      <c r="O6" s="144" t="n"/>
      <c r="P6" s="231">
        <f>IFERROR(SUM(DATA_TM!F:F)/60/DATA_CONFIG!B8,0)</f>
        <v/>
      </c>
      <c r="Q6" s="160" t="n"/>
      <c r="R6" s="144" t="n"/>
      <c r="S6" s="226">
        <f>COUNTA(DATA_TM!D2:D500)</f>
        <v/>
      </c>
      <c r="T6" s="160" t="n"/>
      <c r="U6" s="160" t="n"/>
      <c r="V6" s="144" t="n"/>
    </row>
    <row r="8">
      <c r="A8" s="247" t="inlineStr">
        <is>
          <t>CONTROL DIARIO — HORAS DE TIEMPO MUERTO POR EQUIPO (SEMÁFORO)</t>
        </is>
      </c>
      <c r="B8" s="160" t="n"/>
      <c r="C8" s="160" t="n"/>
      <c r="D8" s="160" t="n"/>
      <c r="E8" s="160" t="n"/>
      <c r="F8" s="160" t="n"/>
      <c r="G8" s="160" t="n"/>
      <c r="H8" s="160" t="n"/>
      <c r="I8" s="160" t="n"/>
      <c r="J8" s="160" t="n"/>
      <c r="K8" s="160" t="n"/>
      <c r="L8" s="160" t="n"/>
      <c r="M8" s="160" t="n"/>
      <c r="N8" s="160" t="n"/>
      <c r="O8" s="160" t="n"/>
      <c r="P8" s="160" t="n"/>
      <c r="Q8" s="160" t="n"/>
      <c r="R8" s="160" t="n"/>
      <c r="S8" s="160" t="n"/>
      <c r="T8" s="160" t="n"/>
      <c r="U8" s="160" t="n"/>
      <c r="V8" s="144" t="n"/>
    </row>
    <row r="9" ht="30" customHeight="1" s="150">
      <c r="A9" s="167" t="inlineStr">
        <is>
          <t>Día</t>
        </is>
      </c>
      <c r="B9" s="167" t="inlineStr">
        <is>
          <t>Sem</t>
        </is>
      </c>
      <c r="C9" s="167" t="inlineStr">
        <is>
          <t>Millalemu 1.1</t>
        </is>
      </c>
      <c r="D9" s="144" t="n"/>
      <c r="E9" s="167" t="inlineStr">
        <is>
          <t>Millalemu 1.2</t>
        </is>
      </c>
      <c r="F9" s="144" t="n"/>
      <c r="G9" s="167" t="inlineStr">
        <is>
          <t>Millalemu 1.3</t>
        </is>
      </c>
      <c r="H9" s="144" t="n"/>
      <c r="I9" s="167" t="inlineStr">
        <is>
          <t>Millalemu 1.4</t>
        </is>
      </c>
      <c r="J9" s="144" t="n"/>
      <c r="K9" s="167" t="inlineStr">
        <is>
          <t>Millalemu 5</t>
        </is>
      </c>
      <c r="L9" s="144" t="n"/>
      <c r="M9" s="167" t="inlineStr">
        <is>
          <t>Millalemu 7</t>
        </is>
      </c>
      <c r="N9" s="144" t="n"/>
      <c r="O9" s="167" t="inlineStr">
        <is>
          <t>Millalemu 9</t>
        </is>
      </c>
      <c r="P9" s="144" t="n"/>
      <c r="Q9" s="167" t="inlineStr">
        <is>
          <t>Millalemu 11</t>
        </is>
      </c>
      <c r="R9" s="144" t="n"/>
      <c r="S9" s="167" t="inlineStr">
        <is>
          <t>TOTAL</t>
        </is>
      </c>
      <c r="T9" s="167" t="inlineStr">
        <is>
          <t>Eventos</t>
        </is>
      </c>
    </row>
    <row r="10">
      <c r="A10" s="196">
        <f>IF(1&gt;DATA_CONFIG!$B$4,"",1)</f>
        <v/>
      </c>
      <c r="B10" s="94">
        <f>IF(A10="","",TEXT(DATE(DATA_CONFIG!$B$3,DATA_CONFIG!$B$2,A10),"ddd"))</f>
        <v/>
      </c>
      <c r="C10" s="188">
        <f>IF($A10="","",ROUND(SUMIFS(DATA_TM!$F$2:$F$500,DATA_TM!$A$2:$A$500,$A10,DATA_TM!$B$2:$B$500,"Millalemu 1.1")/60,1))</f>
        <v/>
      </c>
      <c r="D10" s="144" t="n"/>
      <c r="E10" s="188">
        <f>IF($A10="","",ROUND(SUMIFS(DATA_TM!$F$2:$F$500,DATA_TM!$A$2:$A$500,$A10,DATA_TM!$B$2:$B$500,"Millalemu 1.2")/60,1))</f>
        <v/>
      </c>
      <c r="F10" s="144" t="n"/>
      <c r="G10" s="188">
        <f>IF($A10="","",ROUND(SUMIFS(DATA_TM!$F$2:$F$500,DATA_TM!$A$2:$A$500,$A10,DATA_TM!$B$2:$B$500,"Millalemu 1.3")/60,1))</f>
        <v/>
      </c>
      <c r="H10" s="144" t="n"/>
      <c r="I10" s="188">
        <f>IF($A10="","",ROUND(SUMIFS(DATA_TM!$F$2:$F$500,DATA_TM!$A$2:$A$500,$A10,DATA_TM!$B$2:$B$500,"Millalemu 1.4")/60,1))</f>
        <v/>
      </c>
      <c r="J10" s="144" t="n"/>
      <c r="K10" s="188">
        <f>IF($A10="","",ROUND(SUMIFS(DATA_TM!$F$2:$F$500,DATA_TM!$A$2:$A$500,$A10,DATA_TM!$B$2:$B$500,"Millalemu 5")/60,1))</f>
        <v/>
      </c>
      <c r="L10" s="144" t="n"/>
      <c r="M10" s="188">
        <f>IF($A10="","",ROUND(SUMIFS(DATA_TM!$F$2:$F$500,DATA_TM!$A$2:$A$500,$A10,DATA_TM!$B$2:$B$500,"Millalemu 7")/60,1))</f>
        <v/>
      </c>
      <c r="N10" s="144" t="n"/>
      <c r="O10" s="188">
        <f>IF($A10="","",ROUND(SUMIFS(DATA_TM!$F$2:$F$500,DATA_TM!$A$2:$A$500,$A10,DATA_TM!$B$2:$B$500,"Millalemu 9")/60,1))</f>
        <v/>
      </c>
      <c r="P10" s="144" t="n"/>
      <c r="Q10" s="188">
        <f>IF($A10="","",ROUND(SUMIFS(DATA_TM!$F$2:$F$500,DATA_TM!$A$2:$A$500,$A10,DATA_TM!$B$2:$B$500,"Millalemu 11")/60,1))</f>
        <v/>
      </c>
      <c r="R10" s="144" t="n"/>
      <c r="S10" s="201">
        <f>IF($A10="","",ROUND(SUMIFS(DATA_TM!$F$2:$F$500,DATA_TM!$A$2:$A$500,$A10)/60,1))</f>
        <v/>
      </c>
      <c r="T10" s="189">
        <f>IF($A10="","",COUNTIFS(DATA_TM!$A$2:$A$500,$A10))</f>
        <v/>
      </c>
      <c r="U10">
        <f>IF($A10="","",IF(S10=0,"OK",IF(S10&lt;=2,"LEVE",IF(S10&lt;=8,"ATENCIÓN","CRÍTICO"))))</f>
        <v/>
      </c>
    </row>
    <row r="11">
      <c r="A11" s="196">
        <f>IF(2&gt;DATA_CONFIG!$B$4,"",2)</f>
        <v/>
      </c>
      <c r="B11" s="94">
        <f>IF(A11="","",TEXT(DATE(DATA_CONFIG!$B$3,DATA_CONFIG!$B$2,A11),"ddd"))</f>
        <v/>
      </c>
      <c r="C11" s="188">
        <f>IF($A11="","",ROUND(SUMIFS(DATA_TM!$F$2:$F$500,DATA_TM!$A$2:$A$500,$A11,DATA_TM!$B$2:$B$500,"Millalemu 1.1")/60,1))</f>
        <v/>
      </c>
      <c r="D11" s="144" t="n"/>
      <c r="E11" s="188">
        <f>IF($A11="","",ROUND(SUMIFS(DATA_TM!$F$2:$F$500,DATA_TM!$A$2:$A$500,$A11,DATA_TM!$B$2:$B$500,"Millalemu 1.2")/60,1))</f>
        <v/>
      </c>
      <c r="F11" s="144" t="n"/>
      <c r="G11" s="188">
        <f>IF($A11="","",ROUND(SUMIFS(DATA_TM!$F$2:$F$500,DATA_TM!$A$2:$A$500,$A11,DATA_TM!$B$2:$B$500,"Millalemu 1.3")/60,1))</f>
        <v/>
      </c>
      <c r="H11" s="144" t="n"/>
      <c r="I11" s="188">
        <f>IF($A11="","",ROUND(SUMIFS(DATA_TM!$F$2:$F$500,DATA_TM!$A$2:$A$500,$A11,DATA_TM!$B$2:$B$500,"Millalemu 1.4")/60,1))</f>
        <v/>
      </c>
      <c r="J11" s="144" t="n"/>
      <c r="K11" s="188">
        <f>IF($A11="","",ROUND(SUMIFS(DATA_TM!$F$2:$F$500,DATA_TM!$A$2:$A$500,$A11,DATA_TM!$B$2:$B$500,"Millalemu 5")/60,1))</f>
        <v/>
      </c>
      <c r="L11" s="144" t="n"/>
      <c r="M11" s="188">
        <f>IF($A11="","",ROUND(SUMIFS(DATA_TM!$F$2:$F$500,DATA_TM!$A$2:$A$500,$A11,DATA_TM!$B$2:$B$500,"Millalemu 7")/60,1))</f>
        <v/>
      </c>
      <c r="N11" s="144" t="n"/>
      <c r="O11" s="188">
        <f>IF($A11="","",ROUND(SUMIFS(DATA_TM!$F$2:$F$500,DATA_TM!$A$2:$A$500,$A11,DATA_TM!$B$2:$B$500,"Millalemu 9")/60,1))</f>
        <v/>
      </c>
      <c r="P11" s="144" t="n"/>
      <c r="Q11" s="188">
        <f>IF($A11="","",ROUND(SUMIFS(DATA_TM!$F$2:$F$500,DATA_TM!$A$2:$A$500,$A11,DATA_TM!$B$2:$B$500,"Millalemu 11")/60,1))</f>
        <v/>
      </c>
      <c r="R11" s="144" t="n"/>
      <c r="S11" s="201">
        <f>IF($A11="","",ROUND(SUMIFS(DATA_TM!$F$2:$F$500,DATA_TM!$A$2:$A$500,$A11)/60,1))</f>
        <v/>
      </c>
      <c r="T11" s="189">
        <f>IF($A11="","",COUNTIFS(DATA_TM!$A$2:$A$500,$A11))</f>
        <v/>
      </c>
      <c r="U11">
        <f>IF($A11="","",IF(S11=0,"OK",IF(S11&lt;=2,"LEVE",IF(S11&lt;=8,"ATENCIÓN","CRÍTICO"))))</f>
        <v/>
      </c>
    </row>
    <row r="12">
      <c r="A12" s="196">
        <f>IF(3&gt;DATA_CONFIG!$B$4,"",3)</f>
        <v/>
      </c>
      <c r="B12" s="94">
        <f>IF(A12="","",TEXT(DATE(DATA_CONFIG!$B$3,DATA_CONFIG!$B$2,A12),"ddd"))</f>
        <v/>
      </c>
      <c r="C12" s="188">
        <f>IF($A12="","",ROUND(SUMIFS(DATA_TM!$F$2:$F$500,DATA_TM!$A$2:$A$500,$A12,DATA_TM!$B$2:$B$500,"Millalemu 1.1")/60,1))</f>
        <v/>
      </c>
      <c r="D12" s="144" t="n"/>
      <c r="E12" s="188">
        <f>IF($A12="","",ROUND(SUMIFS(DATA_TM!$F$2:$F$500,DATA_TM!$A$2:$A$500,$A12,DATA_TM!$B$2:$B$500,"Millalemu 1.2")/60,1))</f>
        <v/>
      </c>
      <c r="F12" s="144" t="n"/>
      <c r="G12" s="188">
        <f>IF($A12="","",ROUND(SUMIFS(DATA_TM!$F$2:$F$500,DATA_TM!$A$2:$A$500,$A12,DATA_TM!$B$2:$B$500,"Millalemu 1.3")/60,1))</f>
        <v/>
      </c>
      <c r="H12" s="144" t="n"/>
      <c r="I12" s="188">
        <f>IF($A12="","",ROUND(SUMIFS(DATA_TM!$F$2:$F$500,DATA_TM!$A$2:$A$500,$A12,DATA_TM!$B$2:$B$500,"Millalemu 1.4")/60,1))</f>
        <v/>
      </c>
      <c r="J12" s="144" t="n"/>
      <c r="K12" s="188">
        <f>IF($A12="","",ROUND(SUMIFS(DATA_TM!$F$2:$F$500,DATA_TM!$A$2:$A$500,$A12,DATA_TM!$B$2:$B$500,"Millalemu 5")/60,1))</f>
        <v/>
      </c>
      <c r="L12" s="144" t="n"/>
      <c r="M12" s="188">
        <f>IF($A12="","",ROUND(SUMIFS(DATA_TM!$F$2:$F$500,DATA_TM!$A$2:$A$500,$A12,DATA_TM!$B$2:$B$500,"Millalemu 7")/60,1))</f>
        <v/>
      </c>
      <c r="N12" s="144" t="n"/>
      <c r="O12" s="188">
        <f>IF($A12="","",ROUND(SUMIFS(DATA_TM!$F$2:$F$500,DATA_TM!$A$2:$A$500,$A12,DATA_TM!$B$2:$B$500,"Millalemu 9")/60,1))</f>
        <v/>
      </c>
      <c r="P12" s="144" t="n"/>
      <c r="Q12" s="188">
        <f>IF($A12="","",ROUND(SUMIFS(DATA_TM!$F$2:$F$500,DATA_TM!$A$2:$A$500,$A12,DATA_TM!$B$2:$B$500,"Millalemu 11")/60,1))</f>
        <v/>
      </c>
      <c r="R12" s="144" t="n"/>
      <c r="S12" s="201">
        <f>IF($A12="","",ROUND(SUMIFS(DATA_TM!$F$2:$F$500,DATA_TM!$A$2:$A$500,$A12)/60,1))</f>
        <v/>
      </c>
      <c r="T12" s="189">
        <f>IF($A12="","",COUNTIFS(DATA_TM!$A$2:$A$500,$A12))</f>
        <v/>
      </c>
      <c r="U12">
        <f>IF($A12="","",IF(S12=0,"OK",IF(S12&lt;=2,"LEVE",IF(S12&lt;=8,"ATENCIÓN","CRÍTICO"))))</f>
        <v/>
      </c>
    </row>
    <row r="13">
      <c r="A13" s="196">
        <f>IF(4&gt;DATA_CONFIG!$B$4,"",4)</f>
        <v/>
      </c>
      <c r="B13" s="94">
        <f>IF(A13="","",TEXT(DATE(DATA_CONFIG!$B$3,DATA_CONFIG!$B$2,A13),"ddd"))</f>
        <v/>
      </c>
      <c r="C13" s="188">
        <f>IF($A13="","",ROUND(SUMIFS(DATA_TM!$F$2:$F$500,DATA_TM!$A$2:$A$500,$A13,DATA_TM!$B$2:$B$500,"Millalemu 1.1")/60,1))</f>
        <v/>
      </c>
      <c r="D13" s="144" t="n"/>
      <c r="E13" s="188">
        <f>IF($A13="","",ROUND(SUMIFS(DATA_TM!$F$2:$F$500,DATA_TM!$A$2:$A$500,$A13,DATA_TM!$B$2:$B$500,"Millalemu 1.2")/60,1))</f>
        <v/>
      </c>
      <c r="F13" s="144" t="n"/>
      <c r="G13" s="188">
        <f>IF($A13="","",ROUND(SUMIFS(DATA_TM!$F$2:$F$500,DATA_TM!$A$2:$A$500,$A13,DATA_TM!$B$2:$B$500,"Millalemu 1.3")/60,1))</f>
        <v/>
      </c>
      <c r="H13" s="144" t="n"/>
      <c r="I13" s="188">
        <f>IF($A13="","",ROUND(SUMIFS(DATA_TM!$F$2:$F$500,DATA_TM!$A$2:$A$500,$A13,DATA_TM!$B$2:$B$500,"Millalemu 1.4")/60,1))</f>
        <v/>
      </c>
      <c r="J13" s="144" t="n"/>
      <c r="K13" s="188">
        <f>IF($A13="","",ROUND(SUMIFS(DATA_TM!$F$2:$F$500,DATA_TM!$A$2:$A$500,$A13,DATA_TM!$B$2:$B$500,"Millalemu 5")/60,1))</f>
        <v/>
      </c>
      <c r="L13" s="144" t="n"/>
      <c r="M13" s="188">
        <f>IF($A13="","",ROUND(SUMIFS(DATA_TM!$F$2:$F$500,DATA_TM!$A$2:$A$500,$A13,DATA_TM!$B$2:$B$500,"Millalemu 7")/60,1))</f>
        <v/>
      </c>
      <c r="N13" s="144" t="n"/>
      <c r="O13" s="188">
        <f>IF($A13="","",ROUND(SUMIFS(DATA_TM!$F$2:$F$500,DATA_TM!$A$2:$A$500,$A13,DATA_TM!$B$2:$B$500,"Millalemu 9")/60,1))</f>
        <v/>
      </c>
      <c r="P13" s="144" t="n"/>
      <c r="Q13" s="188">
        <f>IF($A13="","",ROUND(SUMIFS(DATA_TM!$F$2:$F$500,DATA_TM!$A$2:$A$500,$A13,DATA_TM!$B$2:$B$500,"Millalemu 11")/60,1))</f>
        <v/>
      </c>
      <c r="R13" s="144" t="n"/>
      <c r="S13" s="201">
        <f>IF($A13="","",ROUND(SUMIFS(DATA_TM!$F$2:$F$500,DATA_TM!$A$2:$A$500,$A13)/60,1))</f>
        <v/>
      </c>
      <c r="T13" s="189">
        <f>IF($A13="","",COUNTIFS(DATA_TM!$A$2:$A$500,$A13))</f>
        <v/>
      </c>
      <c r="U13">
        <f>IF($A13="","",IF(S13=0,"OK",IF(S13&lt;=2,"LEVE",IF(S13&lt;=8,"ATENCIÓN","CRÍTICO"))))</f>
        <v/>
      </c>
    </row>
    <row r="14">
      <c r="A14" s="196">
        <f>IF(5&gt;DATA_CONFIG!$B$4,"",5)</f>
        <v/>
      </c>
      <c r="B14" s="94">
        <f>IF(A14="","",TEXT(DATE(DATA_CONFIG!$B$3,DATA_CONFIG!$B$2,A14),"ddd"))</f>
        <v/>
      </c>
      <c r="C14" s="188">
        <f>IF($A14="","",ROUND(SUMIFS(DATA_TM!$F$2:$F$500,DATA_TM!$A$2:$A$500,$A14,DATA_TM!$B$2:$B$500,"Millalemu 1.1")/60,1))</f>
        <v/>
      </c>
      <c r="D14" s="144" t="n"/>
      <c r="E14" s="188">
        <f>IF($A14="","",ROUND(SUMIFS(DATA_TM!$F$2:$F$500,DATA_TM!$A$2:$A$500,$A14,DATA_TM!$B$2:$B$500,"Millalemu 1.2")/60,1))</f>
        <v/>
      </c>
      <c r="F14" s="144" t="n"/>
      <c r="G14" s="188">
        <f>IF($A14="","",ROUND(SUMIFS(DATA_TM!$F$2:$F$500,DATA_TM!$A$2:$A$500,$A14,DATA_TM!$B$2:$B$500,"Millalemu 1.3")/60,1))</f>
        <v/>
      </c>
      <c r="H14" s="144" t="n"/>
      <c r="I14" s="188">
        <f>IF($A14="","",ROUND(SUMIFS(DATA_TM!$F$2:$F$500,DATA_TM!$A$2:$A$500,$A14,DATA_TM!$B$2:$B$500,"Millalemu 1.4")/60,1))</f>
        <v/>
      </c>
      <c r="J14" s="144" t="n"/>
      <c r="K14" s="188">
        <f>IF($A14="","",ROUND(SUMIFS(DATA_TM!$F$2:$F$500,DATA_TM!$A$2:$A$500,$A14,DATA_TM!$B$2:$B$500,"Millalemu 5")/60,1))</f>
        <v/>
      </c>
      <c r="L14" s="144" t="n"/>
      <c r="M14" s="188">
        <f>IF($A14="","",ROUND(SUMIFS(DATA_TM!$F$2:$F$500,DATA_TM!$A$2:$A$500,$A14,DATA_TM!$B$2:$B$500,"Millalemu 7")/60,1))</f>
        <v/>
      </c>
      <c r="N14" s="144" t="n"/>
      <c r="O14" s="188">
        <f>IF($A14="","",ROUND(SUMIFS(DATA_TM!$F$2:$F$500,DATA_TM!$A$2:$A$500,$A14,DATA_TM!$B$2:$B$500,"Millalemu 9")/60,1))</f>
        <v/>
      </c>
      <c r="P14" s="144" t="n"/>
      <c r="Q14" s="188">
        <f>IF($A14="","",ROUND(SUMIFS(DATA_TM!$F$2:$F$500,DATA_TM!$A$2:$A$500,$A14,DATA_TM!$B$2:$B$500,"Millalemu 11")/60,1))</f>
        <v/>
      </c>
      <c r="R14" s="144" t="n"/>
      <c r="S14" s="201">
        <f>IF($A14="","",ROUND(SUMIFS(DATA_TM!$F$2:$F$500,DATA_TM!$A$2:$A$500,$A14)/60,1))</f>
        <v/>
      </c>
      <c r="T14" s="189">
        <f>IF($A14="","",COUNTIFS(DATA_TM!$A$2:$A$500,$A14))</f>
        <v/>
      </c>
      <c r="U14">
        <f>IF($A14="","",IF(S14=0,"OK",IF(S14&lt;=2,"LEVE",IF(S14&lt;=8,"ATENCIÓN","CRÍTICO"))))</f>
        <v/>
      </c>
    </row>
    <row r="15">
      <c r="A15" s="196">
        <f>IF(6&gt;DATA_CONFIG!$B$4,"",6)</f>
        <v/>
      </c>
      <c r="B15" s="94">
        <f>IF(A15="","",TEXT(DATE(DATA_CONFIG!$B$3,DATA_CONFIG!$B$2,A15),"ddd"))</f>
        <v/>
      </c>
      <c r="C15" s="188">
        <f>IF($A15="","",ROUND(SUMIFS(DATA_TM!$F$2:$F$500,DATA_TM!$A$2:$A$500,$A15,DATA_TM!$B$2:$B$500,"Millalemu 1.1")/60,1))</f>
        <v/>
      </c>
      <c r="D15" s="144" t="n"/>
      <c r="E15" s="188">
        <f>IF($A15="","",ROUND(SUMIFS(DATA_TM!$F$2:$F$500,DATA_TM!$A$2:$A$500,$A15,DATA_TM!$B$2:$B$500,"Millalemu 1.2")/60,1))</f>
        <v/>
      </c>
      <c r="F15" s="144" t="n"/>
      <c r="G15" s="188">
        <f>IF($A15="","",ROUND(SUMIFS(DATA_TM!$F$2:$F$500,DATA_TM!$A$2:$A$500,$A15,DATA_TM!$B$2:$B$500,"Millalemu 1.3")/60,1))</f>
        <v/>
      </c>
      <c r="H15" s="144" t="n"/>
      <c r="I15" s="188">
        <f>IF($A15="","",ROUND(SUMIFS(DATA_TM!$F$2:$F$500,DATA_TM!$A$2:$A$500,$A15,DATA_TM!$B$2:$B$500,"Millalemu 1.4")/60,1))</f>
        <v/>
      </c>
      <c r="J15" s="144" t="n"/>
      <c r="K15" s="188">
        <f>IF($A15="","",ROUND(SUMIFS(DATA_TM!$F$2:$F$500,DATA_TM!$A$2:$A$500,$A15,DATA_TM!$B$2:$B$500,"Millalemu 5")/60,1))</f>
        <v/>
      </c>
      <c r="L15" s="144" t="n"/>
      <c r="M15" s="188">
        <f>IF($A15="","",ROUND(SUMIFS(DATA_TM!$F$2:$F$500,DATA_TM!$A$2:$A$500,$A15,DATA_TM!$B$2:$B$500,"Millalemu 7")/60,1))</f>
        <v/>
      </c>
      <c r="N15" s="144" t="n"/>
      <c r="O15" s="188">
        <f>IF($A15="","",ROUND(SUMIFS(DATA_TM!$F$2:$F$500,DATA_TM!$A$2:$A$500,$A15,DATA_TM!$B$2:$B$500,"Millalemu 9")/60,1))</f>
        <v/>
      </c>
      <c r="P15" s="144" t="n"/>
      <c r="Q15" s="188">
        <f>IF($A15="","",ROUND(SUMIFS(DATA_TM!$F$2:$F$500,DATA_TM!$A$2:$A$500,$A15,DATA_TM!$B$2:$B$500,"Millalemu 11")/60,1))</f>
        <v/>
      </c>
      <c r="R15" s="144" t="n"/>
      <c r="S15" s="201">
        <f>IF($A15="","",ROUND(SUMIFS(DATA_TM!$F$2:$F$500,DATA_TM!$A$2:$A$500,$A15)/60,1))</f>
        <v/>
      </c>
      <c r="T15" s="189">
        <f>IF($A15="","",COUNTIFS(DATA_TM!$A$2:$A$500,$A15))</f>
        <v/>
      </c>
      <c r="U15">
        <f>IF($A15="","",IF(S15=0,"OK",IF(S15&lt;=2,"LEVE",IF(S15&lt;=8,"ATENCIÓN","CRÍTICO"))))</f>
        <v/>
      </c>
    </row>
    <row r="16">
      <c r="A16" s="196">
        <f>IF(7&gt;DATA_CONFIG!$B$4,"",7)</f>
        <v/>
      </c>
      <c r="B16" s="94">
        <f>IF(A16="","",TEXT(DATE(DATA_CONFIG!$B$3,DATA_CONFIG!$B$2,A16),"ddd"))</f>
        <v/>
      </c>
      <c r="C16" s="188">
        <f>IF($A16="","",ROUND(SUMIFS(DATA_TM!$F$2:$F$500,DATA_TM!$A$2:$A$500,$A16,DATA_TM!$B$2:$B$500,"Millalemu 1.1")/60,1))</f>
        <v/>
      </c>
      <c r="D16" s="144" t="n"/>
      <c r="E16" s="188">
        <f>IF($A16="","",ROUND(SUMIFS(DATA_TM!$F$2:$F$500,DATA_TM!$A$2:$A$500,$A16,DATA_TM!$B$2:$B$500,"Millalemu 1.2")/60,1))</f>
        <v/>
      </c>
      <c r="F16" s="144" t="n"/>
      <c r="G16" s="188">
        <f>IF($A16="","",ROUND(SUMIFS(DATA_TM!$F$2:$F$500,DATA_TM!$A$2:$A$500,$A16,DATA_TM!$B$2:$B$500,"Millalemu 1.3")/60,1))</f>
        <v/>
      </c>
      <c r="H16" s="144" t="n"/>
      <c r="I16" s="188">
        <f>IF($A16="","",ROUND(SUMIFS(DATA_TM!$F$2:$F$500,DATA_TM!$A$2:$A$500,$A16,DATA_TM!$B$2:$B$500,"Millalemu 1.4")/60,1))</f>
        <v/>
      </c>
      <c r="J16" s="144" t="n"/>
      <c r="K16" s="188">
        <f>IF($A16="","",ROUND(SUMIFS(DATA_TM!$F$2:$F$500,DATA_TM!$A$2:$A$500,$A16,DATA_TM!$B$2:$B$500,"Millalemu 5")/60,1))</f>
        <v/>
      </c>
      <c r="L16" s="144" t="n"/>
      <c r="M16" s="188">
        <f>IF($A16="","",ROUND(SUMIFS(DATA_TM!$F$2:$F$500,DATA_TM!$A$2:$A$500,$A16,DATA_TM!$B$2:$B$500,"Millalemu 7")/60,1))</f>
        <v/>
      </c>
      <c r="N16" s="144" t="n"/>
      <c r="O16" s="188">
        <f>IF($A16="","",ROUND(SUMIFS(DATA_TM!$F$2:$F$500,DATA_TM!$A$2:$A$500,$A16,DATA_TM!$B$2:$B$500,"Millalemu 9")/60,1))</f>
        <v/>
      </c>
      <c r="P16" s="144" t="n"/>
      <c r="Q16" s="188">
        <f>IF($A16="","",ROUND(SUMIFS(DATA_TM!$F$2:$F$500,DATA_TM!$A$2:$A$500,$A16,DATA_TM!$B$2:$B$500,"Millalemu 11")/60,1))</f>
        <v/>
      </c>
      <c r="R16" s="144" t="n"/>
      <c r="S16" s="201">
        <f>IF($A16="","",ROUND(SUMIFS(DATA_TM!$F$2:$F$500,DATA_TM!$A$2:$A$500,$A16)/60,1))</f>
        <v/>
      </c>
      <c r="T16" s="189">
        <f>IF($A16="","",COUNTIFS(DATA_TM!$A$2:$A$500,$A16))</f>
        <v/>
      </c>
      <c r="U16">
        <f>IF($A16="","",IF(S16=0,"OK",IF(S16&lt;=2,"LEVE",IF(S16&lt;=8,"ATENCIÓN","CRÍTICO"))))</f>
        <v/>
      </c>
    </row>
    <row r="17">
      <c r="A17" s="196">
        <f>IF(8&gt;DATA_CONFIG!$B$4,"",8)</f>
        <v/>
      </c>
      <c r="B17" s="94">
        <f>IF(A17="","",TEXT(DATE(DATA_CONFIG!$B$3,DATA_CONFIG!$B$2,A17),"ddd"))</f>
        <v/>
      </c>
      <c r="C17" s="188">
        <f>IF($A17="","",ROUND(SUMIFS(DATA_TM!$F$2:$F$500,DATA_TM!$A$2:$A$500,$A17,DATA_TM!$B$2:$B$500,"Millalemu 1.1")/60,1))</f>
        <v/>
      </c>
      <c r="D17" s="144" t="n"/>
      <c r="E17" s="188">
        <f>IF($A17="","",ROUND(SUMIFS(DATA_TM!$F$2:$F$500,DATA_TM!$A$2:$A$500,$A17,DATA_TM!$B$2:$B$500,"Millalemu 1.2")/60,1))</f>
        <v/>
      </c>
      <c r="F17" s="144" t="n"/>
      <c r="G17" s="188">
        <f>IF($A17="","",ROUND(SUMIFS(DATA_TM!$F$2:$F$500,DATA_TM!$A$2:$A$500,$A17,DATA_TM!$B$2:$B$500,"Millalemu 1.3")/60,1))</f>
        <v/>
      </c>
      <c r="H17" s="144" t="n"/>
      <c r="I17" s="188">
        <f>IF($A17="","",ROUND(SUMIFS(DATA_TM!$F$2:$F$500,DATA_TM!$A$2:$A$500,$A17,DATA_TM!$B$2:$B$500,"Millalemu 1.4")/60,1))</f>
        <v/>
      </c>
      <c r="J17" s="144" t="n"/>
      <c r="K17" s="188">
        <f>IF($A17="","",ROUND(SUMIFS(DATA_TM!$F$2:$F$500,DATA_TM!$A$2:$A$500,$A17,DATA_TM!$B$2:$B$500,"Millalemu 5")/60,1))</f>
        <v/>
      </c>
      <c r="L17" s="144" t="n"/>
      <c r="M17" s="188">
        <f>IF($A17="","",ROUND(SUMIFS(DATA_TM!$F$2:$F$500,DATA_TM!$A$2:$A$500,$A17,DATA_TM!$B$2:$B$500,"Millalemu 7")/60,1))</f>
        <v/>
      </c>
      <c r="N17" s="144" t="n"/>
      <c r="O17" s="188">
        <f>IF($A17="","",ROUND(SUMIFS(DATA_TM!$F$2:$F$500,DATA_TM!$A$2:$A$500,$A17,DATA_TM!$B$2:$B$500,"Millalemu 9")/60,1))</f>
        <v/>
      </c>
      <c r="P17" s="144" t="n"/>
      <c r="Q17" s="188">
        <f>IF($A17="","",ROUND(SUMIFS(DATA_TM!$F$2:$F$500,DATA_TM!$A$2:$A$500,$A17,DATA_TM!$B$2:$B$500,"Millalemu 11")/60,1))</f>
        <v/>
      </c>
      <c r="R17" s="144" t="n"/>
      <c r="S17" s="201">
        <f>IF($A17="","",ROUND(SUMIFS(DATA_TM!$F$2:$F$500,DATA_TM!$A$2:$A$500,$A17)/60,1))</f>
        <v/>
      </c>
      <c r="T17" s="189">
        <f>IF($A17="","",COUNTIFS(DATA_TM!$A$2:$A$500,$A17))</f>
        <v/>
      </c>
      <c r="U17">
        <f>IF($A17="","",IF(S17=0,"OK",IF(S17&lt;=2,"LEVE",IF(S17&lt;=8,"ATENCIÓN","CRÍTICO"))))</f>
        <v/>
      </c>
    </row>
    <row r="18">
      <c r="A18" s="196">
        <f>IF(9&gt;DATA_CONFIG!$B$4,"",9)</f>
        <v/>
      </c>
      <c r="B18" s="94">
        <f>IF(A18="","",TEXT(DATE(DATA_CONFIG!$B$3,DATA_CONFIG!$B$2,A18),"ddd"))</f>
        <v/>
      </c>
      <c r="C18" s="188">
        <f>IF($A18="","",ROUND(SUMIFS(DATA_TM!$F$2:$F$500,DATA_TM!$A$2:$A$500,$A18,DATA_TM!$B$2:$B$500,"Millalemu 1.1")/60,1))</f>
        <v/>
      </c>
      <c r="D18" s="144" t="n"/>
      <c r="E18" s="188">
        <f>IF($A18="","",ROUND(SUMIFS(DATA_TM!$F$2:$F$500,DATA_TM!$A$2:$A$500,$A18,DATA_TM!$B$2:$B$500,"Millalemu 1.2")/60,1))</f>
        <v/>
      </c>
      <c r="F18" s="144" t="n"/>
      <c r="G18" s="188">
        <f>IF($A18="","",ROUND(SUMIFS(DATA_TM!$F$2:$F$500,DATA_TM!$A$2:$A$500,$A18,DATA_TM!$B$2:$B$500,"Millalemu 1.3")/60,1))</f>
        <v/>
      </c>
      <c r="H18" s="144" t="n"/>
      <c r="I18" s="188">
        <f>IF($A18="","",ROUND(SUMIFS(DATA_TM!$F$2:$F$500,DATA_TM!$A$2:$A$500,$A18,DATA_TM!$B$2:$B$500,"Millalemu 1.4")/60,1))</f>
        <v/>
      </c>
      <c r="J18" s="144" t="n"/>
      <c r="K18" s="188">
        <f>IF($A18="","",ROUND(SUMIFS(DATA_TM!$F$2:$F$500,DATA_TM!$A$2:$A$500,$A18,DATA_TM!$B$2:$B$500,"Millalemu 5")/60,1))</f>
        <v/>
      </c>
      <c r="L18" s="144" t="n"/>
      <c r="M18" s="188">
        <f>IF($A18="","",ROUND(SUMIFS(DATA_TM!$F$2:$F$500,DATA_TM!$A$2:$A$500,$A18,DATA_TM!$B$2:$B$500,"Millalemu 7")/60,1))</f>
        <v/>
      </c>
      <c r="N18" s="144" t="n"/>
      <c r="O18" s="188">
        <f>IF($A18="","",ROUND(SUMIFS(DATA_TM!$F$2:$F$500,DATA_TM!$A$2:$A$500,$A18,DATA_TM!$B$2:$B$500,"Millalemu 9")/60,1))</f>
        <v/>
      </c>
      <c r="P18" s="144" t="n"/>
      <c r="Q18" s="188">
        <f>IF($A18="","",ROUND(SUMIFS(DATA_TM!$F$2:$F$500,DATA_TM!$A$2:$A$500,$A18,DATA_TM!$B$2:$B$500,"Millalemu 11")/60,1))</f>
        <v/>
      </c>
      <c r="R18" s="144" t="n"/>
      <c r="S18" s="201">
        <f>IF($A18="","",ROUND(SUMIFS(DATA_TM!$F$2:$F$500,DATA_TM!$A$2:$A$500,$A18)/60,1))</f>
        <v/>
      </c>
      <c r="T18" s="189">
        <f>IF($A18="","",COUNTIFS(DATA_TM!$A$2:$A$500,$A18))</f>
        <v/>
      </c>
      <c r="U18">
        <f>IF($A18="","",IF(S18=0,"OK",IF(S18&lt;=2,"LEVE",IF(S18&lt;=8,"ATENCIÓN","CRÍTICO"))))</f>
        <v/>
      </c>
    </row>
    <row r="19">
      <c r="A19" s="196">
        <f>IF(10&gt;DATA_CONFIG!$B$4,"",10)</f>
        <v/>
      </c>
      <c r="B19" s="94">
        <f>IF(A19="","",TEXT(DATE(DATA_CONFIG!$B$3,DATA_CONFIG!$B$2,A19),"ddd"))</f>
        <v/>
      </c>
      <c r="C19" s="188">
        <f>IF($A19="","",ROUND(SUMIFS(DATA_TM!$F$2:$F$500,DATA_TM!$A$2:$A$500,$A19,DATA_TM!$B$2:$B$500,"Millalemu 1.1")/60,1))</f>
        <v/>
      </c>
      <c r="D19" s="144" t="n"/>
      <c r="E19" s="188">
        <f>IF($A19="","",ROUND(SUMIFS(DATA_TM!$F$2:$F$500,DATA_TM!$A$2:$A$500,$A19,DATA_TM!$B$2:$B$500,"Millalemu 1.2")/60,1))</f>
        <v/>
      </c>
      <c r="F19" s="144" t="n"/>
      <c r="G19" s="188">
        <f>IF($A19="","",ROUND(SUMIFS(DATA_TM!$F$2:$F$500,DATA_TM!$A$2:$A$500,$A19,DATA_TM!$B$2:$B$500,"Millalemu 1.3")/60,1))</f>
        <v/>
      </c>
      <c r="H19" s="144" t="n"/>
      <c r="I19" s="188">
        <f>IF($A19="","",ROUND(SUMIFS(DATA_TM!$F$2:$F$500,DATA_TM!$A$2:$A$500,$A19,DATA_TM!$B$2:$B$500,"Millalemu 1.4")/60,1))</f>
        <v/>
      </c>
      <c r="J19" s="144" t="n"/>
      <c r="K19" s="188">
        <f>IF($A19="","",ROUND(SUMIFS(DATA_TM!$F$2:$F$500,DATA_TM!$A$2:$A$500,$A19,DATA_TM!$B$2:$B$500,"Millalemu 5")/60,1))</f>
        <v/>
      </c>
      <c r="L19" s="144" t="n"/>
      <c r="M19" s="188">
        <f>IF($A19="","",ROUND(SUMIFS(DATA_TM!$F$2:$F$500,DATA_TM!$A$2:$A$500,$A19,DATA_TM!$B$2:$B$500,"Millalemu 7")/60,1))</f>
        <v/>
      </c>
      <c r="N19" s="144" t="n"/>
      <c r="O19" s="188">
        <f>IF($A19="","",ROUND(SUMIFS(DATA_TM!$F$2:$F$500,DATA_TM!$A$2:$A$500,$A19,DATA_TM!$B$2:$B$500,"Millalemu 9")/60,1))</f>
        <v/>
      </c>
      <c r="P19" s="144" t="n"/>
      <c r="Q19" s="188">
        <f>IF($A19="","",ROUND(SUMIFS(DATA_TM!$F$2:$F$500,DATA_TM!$A$2:$A$500,$A19,DATA_TM!$B$2:$B$500,"Millalemu 11")/60,1))</f>
        <v/>
      </c>
      <c r="R19" s="144" t="n"/>
      <c r="S19" s="201">
        <f>IF($A19="","",ROUND(SUMIFS(DATA_TM!$F$2:$F$500,DATA_TM!$A$2:$A$500,$A19)/60,1))</f>
        <v/>
      </c>
      <c r="T19" s="189">
        <f>IF($A19="","",COUNTIFS(DATA_TM!$A$2:$A$500,$A19))</f>
        <v/>
      </c>
      <c r="U19">
        <f>IF($A19="","",IF(S19=0,"OK",IF(S19&lt;=2,"LEVE",IF(S19&lt;=8,"ATENCIÓN","CRÍTICO"))))</f>
        <v/>
      </c>
    </row>
    <row r="20">
      <c r="A20" s="196">
        <f>IF(11&gt;DATA_CONFIG!$B$4,"",11)</f>
        <v/>
      </c>
      <c r="B20" s="94">
        <f>IF(A20="","",TEXT(DATE(DATA_CONFIG!$B$3,DATA_CONFIG!$B$2,A20),"ddd"))</f>
        <v/>
      </c>
      <c r="C20" s="188">
        <f>IF($A20="","",ROUND(SUMIFS(DATA_TM!$F$2:$F$500,DATA_TM!$A$2:$A$500,$A20,DATA_TM!$B$2:$B$500,"Millalemu 1.1")/60,1))</f>
        <v/>
      </c>
      <c r="D20" s="144" t="n"/>
      <c r="E20" s="188">
        <f>IF($A20="","",ROUND(SUMIFS(DATA_TM!$F$2:$F$500,DATA_TM!$A$2:$A$500,$A20,DATA_TM!$B$2:$B$500,"Millalemu 1.2")/60,1))</f>
        <v/>
      </c>
      <c r="F20" s="144" t="n"/>
      <c r="G20" s="188">
        <f>IF($A20="","",ROUND(SUMIFS(DATA_TM!$F$2:$F$500,DATA_TM!$A$2:$A$500,$A20,DATA_TM!$B$2:$B$500,"Millalemu 1.3")/60,1))</f>
        <v/>
      </c>
      <c r="H20" s="144" t="n"/>
      <c r="I20" s="188">
        <f>IF($A20="","",ROUND(SUMIFS(DATA_TM!$F$2:$F$500,DATA_TM!$A$2:$A$500,$A20,DATA_TM!$B$2:$B$500,"Millalemu 1.4")/60,1))</f>
        <v/>
      </c>
      <c r="J20" s="144" t="n"/>
      <c r="K20" s="188">
        <f>IF($A20="","",ROUND(SUMIFS(DATA_TM!$F$2:$F$500,DATA_TM!$A$2:$A$500,$A20,DATA_TM!$B$2:$B$500,"Millalemu 5")/60,1))</f>
        <v/>
      </c>
      <c r="L20" s="144" t="n"/>
      <c r="M20" s="188">
        <f>IF($A20="","",ROUND(SUMIFS(DATA_TM!$F$2:$F$500,DATA_TM!$A$2:$A$500,$A20,DATA_TM!$B$2:$B$500,"Millalemu 7")/60,1))</f>
        <v/>
      </c>
      <c r="N20" s="144" t="n"/>
      <c r="O20" s="188">
        <f>IF($A20="","",ROUND(SUMIFS(DATA_TM!$F$2:$F$500,DATA_TM!$A$2:$A$500,$A20,DATA_TM!$B$2:$B$500,"Millalemu 9")/60,1))</f>
        <v/>
      </c>
      <c r="P20" s="144" t="n"/>
      <c r="Q20" s="188">
        <f>IF($A20="","",ROUND(SUMIFS(DATA_TM!$F$2:$F$500,DATA_TM!$A$2:$A$500,$A20,DATA_TM!$B$2:$B$500,"Millalemu 11")/60,1))</f>
        <v/>
      </c>
      <c r="R20" s="144" t="n"/>
      <c r="S20" s="201">
        <f>IF($A20="","",ROUND(SUMIFS(DATA_TM!$F$2:$F$500,DATA_TM!$A$2:$A$500,$A20)/60,1))</f>
        <v/>
      </c>
      <c r="T20" s="189">
        <f>IF($A20="","",COUNTIFS(DATA_TM!$A$2:$A$500,$A20))</f>
        <v/>
      </c>
      <c r="U20">
        <f>IF($A20="","",IF(S20=0,"OK",IF(S20&lt;=2,"LEVE",IF(S20&lt;=8,"ATENCIÓN","CRÍTICO"))))</f>
        <v/>
      </c>
    </row>
    <row r="21">
      <c r="A21" s="196">
        <f>IF(12&gt;DATA_CONFIG!$B$4,"",12)</f>
        <v/>
      </c>
      <c r="B21" s="94">
        <f>IF(A21="","",TEXT(DATE(DATA_CONFIG!$B$3,DATA_CONFIG!$B$2,A21),"ddd"))</f>
        <v/>
      </c>
      <c r="C21" s="188">
        <f>IF($A21="","",ROUND(SUMIFS(DATA_TM!$F$2:$F$500,DATA_TM!$A$2:$A$500,$A21,DATA_TM!$B$2:$B$500,"Millalemu 1.1")/60,1))</f>
        <v/>
      </c>
      <c r="D21" s="144" t="n"/>
      <c r="E21" s="188">
        <f>IF($A21="","",ROUND(SUMIFS(DATA_TM!$F$2:$F$500,DATA_TM!$A$2:$A$500,$A21,DATA_TM!$B$2:$B$500,"Millalemu 1.2")/60,1))</f>
        <v/>
      </c>
      <c r="F21" s="144" t="n"/>
      <c r="G21" s="188">
        <f>IF($A21="","",ROUND(SUMIFS(DATA_TM!$F$2:$F$500,DATA_TM!$A$2:$A$500,$A21,DATA_TM!$B$2:$B$500,"Millalemu 1.3")/60,1))</f>
        <v/>
      </c>
      <c r="H21" s="144" t="n"/>
      <c r="I21" s="188">
        <f>IF($A21="","",ROUND(SUMIFS(DATA_TM!$F$2:$F$500,DATA_TM!$A$2:$A$500,$A21,DATA_TM!$B$2:$B$500,"Millalemu 1.4")/60,1))</f>
        <v/>
      </c>
      <c r="J21" s="144" t="n"/>
      <c r="K21" s="188">
        <f>IF($A21="","",ROUND(SUMIFS(DATA_TM!$F$2:$F$500,DATA_TM!$A$2:$A$500,$A21,DATA_TM!$B$2:$B$500,"Millalemu 5")/60,1))</f>
        <v/>
      </c>
      <c r="L21" s="144" t="n"/>
      <c r="M21" s="188">
        <f>IF($A21="","",ROUND(SUMIFS(DATA_TM!$F$2:$F$500,DATA_TM!$A$2:$A$500,$A21,DATA_TM!$B$2:$B$500,"Millalemu 7")/60,1))</f>
        <v/>
      </c>
      <c r="N21" s="144" t="n"/>
      <c r="O21" s="188">
        <f>IF($A21="","",ROUND(SUMIFS(DATA_TM!$F$2:$F$500,DATA_TM!$A$2:$A$500,$A21,DATA_TM!$B$2:$B$500,"Millalemu 9")/60,1))</f>
        <v/>
      </c>
      <c r="P21" s="144" t="n"/>
      <c r="Q21" s="188">
        <f>IF($A21="","",ROUND(SUMIFS(DATA_TM!$F$2:$F$500,DATA_TM!$A$2:$A$500,$A21,DATA_TM!$B$2:$B$500,"Millalemu 11")/60,1))</f>
        <v/>
      </c>
      <c r="R21" s="144" t="n"/>
      <c r="S21" s="201">
        <f>IF($A21="","",ROUND(SUMIFS(DATA_TM!$F$2:$F$500,DATA_TM!$A$2:$A$500,$A21)/60,1))</f>
        <v/>
      </c>
      <c r="T21" s="189">
        <f>IF($A21="","",COUNTIFS(DATA_TM!$A$2:$A$500,$A21))</f>
        <v/>
      </c>
      <c r="U21">
        <f>IF($A21="","",IF(S21=0,"OK",IF(S21&lt;=2,"LEVE",IF(S21&lt;=8,"ATENCIÓN","CRÍTICO"))))</f>
        <v/>
      </c>
    </row>
    <row r="22">
      <c r="A22" s="196">
        <f>IF(13&gt;DATA_CONFIG!$B$4,"",13)</f>
        <v/>
      </c>
      <c r="B22" s="94">
        <f>IF(A22="","",TEXT(DATE(DATA_CONFIG!$B$3,DATA_CONFIG!$B$2,A22),"ddd"))</f>
        <v/>
      </c>
      <c r="C22" s="188">
        <f>IF($A22="","",ROUND(SUMIFS(DATA_TM!$F$2:$F$500,DATA_TM!$A$2:$A$500,$A22,DATA_TM!$B$2:$B$500,"Millalemu 1.1")/60,1))</f>
        <v/>
      </c>
      <c r="D22" s="144" t="n"/>
      <c r="E22" s="188">
        <f>IF($A22="","",ROUND(SUMIFS(DATA_TM!$F$2:$F$500,DATA_TM!$A$2:$A$500,$A22,DATA_TM!$B$2:$B$500,"Millalemu 1.2")/60,1))</f>
        <v/>
      </c>
      <c r="F22" s="144" t="n"/>
      <c r="G22" s="188">
        <f>IF($A22="","",ROUND(SUMIFS(DATA_TM!$F$2:$F$500,DATA_TM!$A$2:$A$500,$A22,DATA_TM!$B$2:$B$500,"Millalemu 1.3")/60,1))</f>
        <v/>
      </c>
      <c r="H22" s="144" t="n"/>
      <c r="I22" s="188">
        <f>IF($A22="","",ROUND(SUMIFS(DATA_TM!$F$2:$F$500,DATA_TM!$A$2:$A$500,$A22,DATA_TM!$B$2:$B$500,"Millalemu 1.4")/60,1))</f>
        <v/>
      </c>
      <c r="J22" s="144" t="n"/>
      <c r="K22" s="188">
        <f>IF($A22="","",ROUND(SUMIFS(DATA_TM!$F$2:$F$500,DATA_TM!$A$2:$A$500,$A22,DATA_TM!$B$2:$B$500,"Millalemu 5")/60,1))</f>
        <v/>
      </c>
      <c r="L22" s="144" t="n"/>
      <c r="M22" s="188">
        <f>IF($A22="","",ROUND(SUMIFS(DATA_TM!$F$2:$F$500,DATA_TM!$A$2:$A$500,$A22,DATA_TM!$B$2:$B$500,"Millalemu 7")/60,1))</f>
        <v/>
      </c>
      <c r="N22" s="144" t="n"/>
      <c r="O22" s="188">
        <f>IF($A22="","",ROUND(SUMIFS(DATA_TM!$F$2:$F$500,DATA_TM!$A$2:$A$500,$A22,DATA_TM!$B$2:$B$500,"Millalemu 9")/60,1))</f>
        <v/>
      </c>
      <c r="P22" s="144" t="n"/>
      <c r="Q22" s="188">
        <f>IF($A22="","",ROUND(SUMIFS(DATA_TM!$F$2:$F$500,DATA_TM!$A$2:$A$500,$A22,DATA_TM!$B$2:$B$500,"Millalemu 11")/60,1))</f>
        <v/>
      </c>
      <c r="R22" s="144" t="n"/>
      <c r="S22" s="201">
        <f>IF($A22="","",ROUND(SUMIFS(DATA_TM!$F$2:$F$500,DATA_TM!$A$2:$A$500,$A22)/60,1))</f>
        <v/>
      </c>
      <c r="T22" s="189">
        <f>IF($A22="","",COUNTIFS(DATA_TM!$A$2:$A$500,$A22))</f>
        <v/>
      </c>
      <c r="U22">
        <f>IF($A22="","",IF(S22=0,"OK",IF(S22&lt;=2,"LEVE",IF(S22&lt;=8,"ATENCIÓN","CRÍTICO"))))</f>
        <v/>
      </c>
    </row>
    <row r="23">
      <c r="A23" s="196">
        <f>IF(14&gt;DATA_CONFIG!$B$4,"",14)</f>
        <v/>
      </c>
      <c r="B23" s="94">
        <f>IF(A23="","",TEXT(DATE(DATA_CONFIG!$B$3,DATA_CONFIG!$B$2,A23),"ddd"))</f>
        <v/>
      </c>
      <c r="C23" s="188">
        <f>IF($A23="","",ROUND(SUMIFS(DATA_TM!$F$2:$F$500,DATA_TM!$A$2:$A$500,$A23,DATA_TM!$B$2:$B$500,"Millalemu 1.1")/60,1))</f>
        <v/>
      </c>
      <c r="D23" s="144" t="n"/>
      <c r="E23" s="188">
        <f>IF($A23="","",ROUND(SUMIFS(DATA_TM!$F$2:$F$500,DATA_TM!$A$2:$A$500,$A23,DATA_TM!$B$2:$B$500,"Millalemu 1.2")/60,1))</f>
        <v/>
      </c>
      <c r="F23" s="144" t="n"/>
      <c r="G23" s="188">
        <f>IF($A23="","",ROUND(SUMIFS(DATA_TM!$F$2:$F$500,DATA_TM!$A$2:$A$500,$A23,DATA_TM!$B$2:$B$500,"Millalemu 1.3")/60,1))</f>
        <v/>
      </c>
      <c r="H23" s="144" t="n"/>
      <c r="I23" s="188">
        <f>IF($A23="","",ROUND(SUMIFS(DATA_TM!$F$2:$F$500,DATA_TM!$A$2:$A$500,$A23,DATA_TM!$B$2:$B$500,"Millalemu 1.4")/60,1))</f>
        <v/>
      </c>
      <c r="J23" s="144" t="n"/>
      <c r="K23" s="188">
        <f>IF($A23="","",ROUND(SUMIFS(DATA_TM!$F$2:$F$500,DATA_TM!$A$2:$A$500,$A23,DATA_TM!$B$2:$B$500,"Millalemu 5")/60,1))</f>
        <v/>
      </c>
      <c r="L23" s="144" t="n"/>
      <c r="M23" s="188">
        <f>IF($A23="","",ROUND(SUMIFS(DATA_TM!$F$2:$F$500,DATA_TM!$A$2:$A$500,$A23,DATA_TM!$B$2:$B$500,"Millalemu 7")/60,1))</f>
        <v/>
      </c>
      <c r="N23" s="144" t="n"/>
      <c r="O23" s="188">
        <f>IF($A23="","",ROUND(SUMIFS(DATA_TM!$F$2:$F$500,DATA_TM!$A$2:$A$500,$A23,DATA_TM!$B$2:$B$500,"Millalemu 9")/60,1))</f>
        <v/>
      </c>
      <c r="P23" s="144" t="n"/>
      <c r="Q23" s="188">
        <f>IF($A23="","",ROUND(SUMIFS(DATA_TM!$F$2:$F$500,DATA_TM!$A$2:$A$500,$A23,DATA_TM!$B$2:$B$500,"Millalemu 11")/60,1))</f>
        <v/>
      </c>
      <c r="R23" s="144" t="n"/>
      <c r="S23" s="201">
        <f>IF($A23="","",ROUND(SUMIFS(DATA_TM!$F$2:$F$500,DATA_TM!$A$2:$A$500,$A23)/60,1))</f>
        <v/>
      </c>
      <c r="T23" s="189">
        <f>IF($A23="","",COUNTIFS(DATA_TM!$A$2:$A$500,$A23))</f>
        <v/>
      </c>
      <c r="U23">
        <f>IF($A23="","",IF(S23=0,"OK",IF(S23&lt;=2,"LEVE",IF(S23&lt;=8,"ATENCIÓN","CRÍTICO"))))</f>
        <v/>
      </c>
    </row>
    <row r="24">
      <c r="A24" s="196">
        <f>IF(15&gt;DATA_CONFIG!$B$4,"",15)</f>
        <v/>
      </c>
      <c r="B24" s="94">
        <f>IF(A24="","",TEXT(DATE(DATA_CONFIG!$B$3,DATA_CONFIG!$B$2,A24),"ddd"))</f>
        <v/>
      </c>
      <c r="C24" s="188">
        <f>IF($A24="","",ROUND(SUMIFS(DATA_TM!$F$2:$F$500,DATA_TM!$A$2:$A$500,$A24,DATA_TM!$B$2:$B$500,"Millalemu 1.1")/60,1))</f>
        <v/>
      </c>
      <c r="D24" s="144" t="n"/>
      <c r="E24" s="188">
        <f>IF($A24="","",ROUND(SUMIFS(DATA_TM!$F$2:$F$500,DATA_TM!$A$2:$A$500,$A24,DATA_TM!$B$2:$B$500,"Millalemu 1.2")/60,1))</f>
        <v/>
      </c>
      <c r="F24" s="144" t="n"/>
      <c r="G24" s="188">
        <f>IF($A24="","",ROUND(SUMIFS(DATA_TM!$F$2:$F$500,DATA_TM!$A$2:$A$500,$A24,DATA_TM!$B$2:$B$500,"Millalemu 1.3")/60,1))</f>
        <v/>
      </c>
      <c r="H24" s="144" t="n"/>
      <c r="I24" s="188">
        <f>IF($A24="","",ROUND(SUMIFS(DATA_TM!$F$2:$F$500,DATA_TM!$A$2:$A$500,$A24,DATA_TM!$B$2:$B$500,"Millalemu 1.4")/60,1))</f>
        <v/>
      </c>
      <c r="J24" s="144" t="n"/>
      <c r="K24" s="188">
        <f>IF($A24="","",ROUND(SUMIFS(DATA_TM!$F$2:$F$500,DATA_TM!$A$2:$A$500,$A24,DATA_TM!$B$2:$B$500,"Millalemu 5")/60,1))</f>
        <v/>
      </c>
      <c r="L24" s="144" t="n"/>
      <c r="M24" s="188">
        <f>IF($A24="","",ROUND(SUMIFS(DATA_TM!$F$2:$F$500,DATA_TM!$A$2:$A$500,$A24,DATA_TM!$B$2:$B$500,"Millalemu 7")/60,1))</f>
        <v/>
      </c>
      <c r="N24" s="144" t="n"/>
      <c r="O24" s="188">
        <f>IF($A24="","",ROUND(SUMIFS(DATA_TM!$F$2:$F$500,DATA_TM!$A$2:$A$500,$A24,DATA_TM!$B$2:$B$500,"Millalemu 9")/60,1))</f>
        <v/>
      </c>
      <c r="P24" s="144" t="n"/>
      <c r="Q24" s="188">
        <f>IF($A24="","",ROUND(SUMIFS(DATA_TM!$F$2:$F$500,DATA_TM!$A$2:$A$500,$A24,DATA_TM!$B$2:$B$500,"Millalemu 11")/60,1))</f>
        <v/>
      </c>
      <c r="R24" s="144" t="n"/>
      <c r="S24" s="201">
        <f>IF($A24="","",ROUND(SUMIFS(DATA_TM!$F$2:$F$500,DATA_TM!$A$2:$A$500,$A24)/60,1))</f>
        <v/>
      </c>
      <c r="T24" s="189">
        <f>IF($A24="","",COUNTIFS(DATA_TM!$A$2:$A$500,$A24))</f>
        <v/>
      </c>
      <c r="U24">
        <f>IF($A24="","",IF(S24=0,"OK",IF(S24&lt;=2,"LEVE",IF(S24&lt;=8,"ATENCIÓN","CRÍTICO"))))</f>
        <v/>
      </c>
    </row>
    <row r="25">
      <c r="A25" s="196">
        <f>IF(16&gt;DATA_CONFIG!$B$4,"",16)</f>
        <v/>
      </c>
      <c r="B25" s="94">
        <f>IF(A25="","",TEXT(DATE(DATA_CONFIG!$B$3,DATA_CONFIG!$B$2,A25),"ddd"))</f>
        <v/>
      </c>
      <c r="C25" s="188">
        <f>IF($A25="","",ROUND(SUMIFS(DATA_TM!$F$2:$F$500,DATA_TM!$A$2:$A$500,$A25,DATA_TM!$B$2:$B$500,"Millalemu 1.1")/60,1))</f>
        <v/>
      </c>
      <c r="D25" s="144" t="n"/>
      <c r="E25" s="188">
        <f>IF($A25="","",ROUND(SUMIFS(DATA_TM!$F$2:$F$500,DATA_TM!$A$2:$A$500,$A25,DATA_TM!$B$2:$B$500,"Millalemu 1.2")/60,1))</f>
        <v/>
      </c>
      <c r="F25" s="144" t="n"/>
      <c r="G25" s="188">
        <f>IF($A25="","",ROUND(SUMIFS(DATA_TM!$F$2:$F$500,DATA_TM!$A$2:$A$500,$A25,DATA_TM!$B$2:$B$500,"Millalemu 1.3")/60,1))</f>
        <v/>
      </c>
      <c r="H25" s="144" t="n"/>
      <c r="I25" s="188">
        <f>IF($A25="","",ROUND(SUMIFS(DATA_TM!$F$2:$F$500,DATA_TM!$A$2:$A$500,$A25,DATA_TM!$B$2:$B$500,"Millalemu 1.4")/60,1))</f>
        <v/>
      </c>
      <c r="J25" s="144" t="n"/>
      <c r="K25" s="188">
        <f>IF($A25="","",ROUND(SUMIFS(DATA_TM!$F$2:$F$500,DATA_TM!$A$2:$A$500,$A25,DATA_TM!$B$2:$B$500,"Millalemu 5")/60,1))</f>
        <v/>
      </c>
      <c r="L25" s="144" t="n"/>
      <c r="M25" s="188">
        <f>IF($A25="","",ROUND(SUMIFS(DATA_TM!$F$2:$F$500,DATA_TM!$A$2:$A$500,$A25,DATA_TM!$B$2:$B$500,"Millalemu 7")/60,1))</f>
        <v/>
      </c>
      <c r="N25" s="144" t="n"/>
      <c r="O25" s="188">
        <f>IF($A25="","",ROUND(SUMIFS(DATA_TM!$F$2:$F$500,DATA_TM!$A$2:$A$500,$A25,DATA_TM!$B$2:$B$500,"Millalemu 9")/60,1))</f>
        <v/>
      </c>
      <c r="P25" s="144" t="n"/>
      <c r="Q25" s="188">
        <f>IF($A25="","",ROUND(SUMIFS(DATA_TM!$F$2:$F$500,DATA_TM!$A$2:$A$500,$A25,DATA_TM!$B$2:$B$500,"Millalemu 11")/60,1))</f>
        <v/>
      </c>
      <c r="R25" s="144" t="n"/>
      <c r="S25" s="201">
        <f>IF($A25="","",ROUND(SUMIFS(DATA_TM!$F$2:$F$500,DATA_TM!$A$2:$A$500,$A25)/60,1))</f>
        <v/>
      </c>
      <c r="T25" s="189">
        <f>IF($A25="","",COUNTIFS(DATA_TM!$A$2:$A$500,$A25))</f>
        <v/>
      </c>
      <c r="U25">
        <f>IF($A25="","",IF(S25=0,"OK",IF(S25&lt;=2,"LEVE",IF(S25&lt;=8,"ATENCIÓN","CRÍTICO"))))</f>
        <v/>
      </c>
    </row>
    <row r="26">
      <c r="A26" s="196">
        <f>IF(17&gt;DATA_CONFIG!$B$4,"",17)</f>
        <v/>
      </c>
      <c r="B26" s="94">
        <f>IF(A26="","",TEXT(DATE(DATA_CONFIG!$B$3,DATA_CONFIG!$B$2,A26),"ddd"))</f>
        <v/>
      </c>
      <c r="C26" s="188">
        <f>IF($A26="","",ROUND(SUMIFS(DATA_TM!$F$2:$F$500,DATA_TM!$A$2:$A$500,$A26,DATA_TM!$B$2:$B$500,"Millalemu 1.1")/60,1))</f>
        <v/>
      </c>
      <c r="D26" s="144" t="n"/>
      <c r="E26" s="188">
        <f>IF($A26="","",ROUND(SUMIFS(DATA_TM!$F$2:$F$500,DATA_TM!$A$2:$A$500,$A26,DATA_TM!$B$2:$B$500,"Millalemu 1.2")/60,1))</f>
        <v/>
      </c>
      <c r="F26" s="144" t="n"/>
      <c r="G26" s="188">
        <f>IF($A26="","",ROUND(SUMIFS(DATA_TM!$F$2:$F$500,DATA_TM!$A$2:$A$500,$A26,DATA_TM!$B$2:$B$500,"Millalemu 1.3")/60,1))</f>
        <v/>
      </c>
      <c r="H26" s="144" t="n"/>
      <c r="I26" s="188">
        <f>IF($A26="","",ROUND(SUMIFS(DATA_TM!$F$2:$F$500,DATA_TM!$A$2:$A$500,$A26,DATA_TM!$B$2:$B$500,"Millalemu 1.4")/60,1))</f>
        <v/>
      </c>
      <c r="J26" s="144" t="n"/>
      <c r="K26" s="188">
        <f>IF($A26="","",ROUND(SUMIFS(DATA_TM!$F$2:$F$500,DATA_TM!$A$2:$A$500,$A26,DATA_TM!$B$2:$B$500,"Millalemu 5")/60,1))</f>
        <v/>
      </c>
      <c r="L26" s="144" t="n"/>
      <c r="M26" s="188">
        <f>IF($A26="","",ROUND(SUMIFS(DATA_TM!$F$2:$F$500,DATA_TM!$A$2:$A$500,$A26,DATA_TM!$B$2:$B$500,"Millalemu 7")/60,1))</f>
        <v/>
      </c>
      <c r="N26" s="144" t="n"/>
      <c r="O26" s="188">
        <f>IF($A26="","",ROUND(SUMIFS(DATA_TM!$F$2:$F$500,DATA_TM!$A$2:$A$500,$A26,DATA_TM!$B$2:$B$500,"Millalemu 9")/60,1))</f>
        <v/>
      </c>
      <c r="P26" s="144" t="n"/>
      <c r="Q26" s="188">
        <f>IF($A26="","",ROUND(SUMIFS(DATA_TM!$F$2:$F$500,DATA_TM!$A$2:$A$500,$A26,DATA_TM!$B$2:$B$500,"Millalemu 11")/60,1))</f>
        <v/>
      </c>
      <c r="R26" s="144" t="n"/>
      <c r="S26" s="201">
        <f>IF($A26="","",ROUND(SUMIFS(DATA_TM!$F$2:$F$500,DATA_TM!$A$2:$A$500,$A26)/60,1))</f>
        <v/>
      </c>
      <c r="T26" s="189">
        <f>IF($A26="","",COUNTIFS(DATA_TM!$A$2:$A$500,$A26))</f>
        <v/>
      </c>
      <c r="U26">
        <f>IF($A26="","",IF(S26=0,"OK",IF(S26&lt;=2,"LEVE",IF(S26&lt;=8,"ATENCIÓN","CRÍTICO"))))</f>
        <v/>
      </c>
    </row>
    <row r="27">
      <c r="A27" s="196">
        <f>IF(18&gt;DATA_CONFIG!$B$4,"",18)</f>
        <v/>
      </c>
      <c r="B27" s="94">
        <f>IF(A27="","",TEXT(DATE(DATA_CONFIG!$B$3,DATA_CONFIG!$B$2,A27),"ddd"))</f>
        <v/>
      </c>
      <c r="C27" s="188">
        <f>IF($A27="","",ROUND(SUMIFS(DATA_TM!$F$2:$F$500,DATA_TM!$A$2:$A$500,$A27,DATA_TM!$B$2:$B$500,"Millalemu 1.1")/60,1))</f>
        <v/>
      </c>
      <c r="D27" s="144" t="n"/>
      <c r="E27" s="188">
        <f>IF($A27="","",ROUND(SUMIFS(DATA_TM!$F$2:$F$500,DATA_TM!$A$2:$A$500,$A27,DATA_TM!$B$2:$B$500,"Millalemu 1.2")/60,1))</f>
        <v/>
      </c>
      <c r="F27" s="144" t="n"/>
      <c r="G27" s="188">
        <f>IF($A27="","",ROUND(SUMIFS(DATA_TM!$F$2:$F$500,DATA_TM!$A$2:$A$500,$A27,DATA_TM!$B$2:$B$500,"Millalemu 1.3")/60,1))</f>
        <v/>
      </c>
      <c r="H27" s="144" t="n"/>
      <c r="I27" s="188">
        <f>IF($A27="","",ROUND(SUMIFS(DATA_TM!$F$2:$F$500,DATA_TM!$A$2:$A$500,$A27,DATA_TM!$B$2:$B$500,"Millalemu 1.4")/60,1))</f>
        <v/>
      </c>
      <c r="J27" s="144" t="n"/>
      <c r="K27" s="188">
        <f>IF($A27="","",ROUND(SUMIFS(DATA_TM!$F$2:$F$500,DATA_TM!$A$2:$A$500,$A27,DATA_TM!$B$2:$B$500,"Millalemu 5")/60,1))</f>
        <v/>
      </c>
      <c r="L27" s="144" t="n"/>
      <c r="M27" s="188">
        <f>IF($A27="","",ROUND(SUMIFS(DATA_TM!$F$2:$F$500,DATA_TM!$A$2:$A$500,$A27,DATA_TM!$B$2:$B$500,"Millalemu 7")/60,1))</f>
        <v/>
      </c>
      <c r="N27" s="144" t="n"/>
      <c r="O27" s="188">
        <f>IF($A27="","",ROUND(SUMIFS(DATA_TM!$F$2:$F$500,DATA_TM!$A$2:$A$500,$A27,DATA_TM!$B$2:$B$500,"Millalemu 9")/60,1))</f>
        <v/>
      </c>
      <c r="P27" s="144" t="n"/>
      <c r="Q27" s="188">
        <f>IF($A27="","",ROUND(SUMIFS(DATA_TM!$F$2:$F$500,DATA_TM!$A$2:$A$500,$A27,DATA_TM!$B$2:$B$500,"Millalemu 11")/60,1))</f>
        <v/>
      </c>
      <c r="R27" s="144" t="n"/>
      <c r="S27" s="201">
        <f>IF($A27="","",ROUND(SUMIFS(DATA_TM!$F$2:$F$500,DATA_TM!$A$2:$A$500,$A27)/60,1))</f>
        <v/>
      </c>
      <c r="T27" s="189">
        <f>IF($A27="","",COUNTIFS(DATA_TM!$A$2:$A$500,$A27))</f>
        <v/>
      </c>
      <c r="U27">
        <f>IF($A27="","",IF(S27=0,"OK",IF(S27&lt;=2,"LEVE",IF(S27&lt;=8,"ATENCIÓN","CRÍTICO"))))</f>
        <v/>
      </c>
    </row>
    <row r="28">
      <c r="A28" s="196">
        <f>IF(19&gt;DATA_CONFIG!$B$4,"",19)</f>
        <v/>
      </c>
      <c r="B28" s="94">
        <f>IF(A28="","",TEXT(DATE(DATA_CONFIG!$B$3,DATA_CONFIG!$B$2,A28),"ddd"))</f>
        <v/>
      </c>
      <c r="C28" s="188">
        <f>IF($A28="","",ROUND(SUMIFS(DATA_TM!$F$2:$F$500,DATA_TM!$A$2:$A$500,$A28,DATA_TM!$B$2:$B$500,"Millalemu 1.1")/60,1))</f>
        <v/>
      </c>
      <c r="D28" s="144" t="n"/>
      <c r="E28" s="188">
        <f>IF($A28="","",ROUND(SUMIFS(DATA_TM!$F$2:$F$500,DATA_TM!$A$2:$A$500,$A28,DATA_TM!$B$2:$B$500,"Millalemu 1.2")/60,1))</f>
        <v/>
      </c>
      <c r="F28" s="144" t="n"/>
      <c r="G28" s="188">
        <f>IF($A28="","",ROUND(SUMIFS(DATA_TM!$F$2:$F$500,DATA_TM!$A$2:$A$500,$A28,DATA_TM!$B$2:$B$500,"Millalemu 1.3")/60,1))</f>
        <v/>
      </c>
      <c r="H28" s="144" t="n"/>
      <c r="I28" s="188">
        <f>IF($A28="","",ROUND(SUMIFS(DATA_TM!$F$2:$F$500,DATA_TM!$A$2:$A$500,$A28,DATA_TM!$B$2:$B$500,"Millalemu 1.4")/60,1))</f>
        <v/>
      </c>
      <c r="J28" s="144" t="n"/>
      <c r="K28" s="188">
        <f>IF($A28="","",ROUND(SUMIFS(DATA_TM!$F$2:$F$500,DATA_TM!$A$2:$A$500,$A28,DATA_TM!$B$2:$B$500,"Millalemu 5")/60,1))</f>
        <v/>
      </c>
      <c r="L28" s="144" t="n"/>
      <c r="M28" s="188">
        <f>IF($A28="","",ROUND(SUMIFS(DATA_TM!$F$2:$F$500,DATA_TM!$A$2:$A$500,$A28,DATA_TM!$B$2:$B$500,"Millalemu 7")/60,1))</f>
        <v/>
      </c>
      <c r="N28" s="144" t="n"/>
      <c r="O28" s="188">
        <f>IF($A28="","",ROUND(SUMIFS(DATA_TM!$F$2:$F$500,DATA_TM!$A$2:$A$500,$A28,DATA_TM!$B$2:$B$500,"Millalemu 9")/60,1))</f>
        <v/>
      </c>
      <c r="P28" s="144" t="n"/>
      <c r="Q28" s="188">
        <f>IF($A28="","",ROUND(SUMIFS(DATA_TM!$F$2:$F$500,DATA_TM!$A$2:$A$500,$A28,DATA_TM!$B$2:$B$500,"Millalemu 11")/60,1))</f>
        <v/>
      </c>
      <c r="R28" s="144" t="n"/>
      <c r="S28" s="201">
        <f>IF($A28="","",ROUND(SUMIFS(DATA_TM!$F$2:$F$500,DATA_TM!$A$2:$A$500,$A28)/60,1))</f>
        <v/>
      </c>
      <c r="T28" s="189">
        <f>IF($A28="","",COUNTIFS(DATA_TM!$A$2:$A$500,$A28))</f>
        <v/>
      </c>
      <c r="U28">
        <f>IF($A28="","",IF(S28=0,"OK",IF(S28&lt;=2,"LEVE",IF(S28&lt;=8,"ATENCIÓN","CRÍTICO"))))</f>
        <v/>
      </c>
    </row>
    <row r="29">
      <c r="A29" s="196">
        <f>IF(20&gt;DATA_CONFIG!$B$4,"",20)</f>
        <v/>
      </c>
      <c r="B29" s="94">
        <f>IF(A29="","",TEXT(DATE(DATA_CONFIG!$B$3,DATA_CONFIG!$B$2,A29),"ddd"))</f>
        <v/>
      </c>
      <c r="C29" s="188">
        <f>IF($A29="","",ROUND(SUMIFS(DATA_TM!$F$2:$F$500,DATA_TM!$A$2:$A$500,$A29,DATA_TM!$B$2:$B$500,"Millalemu 1.1")/60,1))</f>
        <v/>
      </c>
      <c r="D29" s="144" t="n"/>
      <c r="E29" s="188">
        <f>IF($A29="","",ROUND(SUMIFS(DATA_TM!$F$2:$F$500,DATA_TM!$A$2:$A$500,$A29,DATA_TM!$B$2:$B$500,"Millalemu 1.2")/60,1))</f>
        <v/>
      </c>
      <c r="F29" s="144" t="n"/>
      <c r="G29" s="188">
        <f>IF($A29="","",ROUND(SUMIFS(DATA_TM!$F$2:$F$500,DATA_TM!$A$2:$A$500,$A29,DATA_TM!$B$2:$B$500,"Millalemu 1.3")/60,1))</f>
        <v/>
      </c>
      <c r="H29" s="144" t="n"/>
      <c r="I29" s="188">
        <f>IF($A29="","",ROUND(SUMIFS(DATA_TM!$F$2:$F$500,DATA_TM!$A$2:$A$500,$A29,DATA_TM!$B$2:$B$500,"Millalemu 1.4")/60,1))</f>
        <v/>
      </c>
      <c r="J29" s="144" t="n"/>
      <c r="K29" s="188">
        <f>IF($A29="","",ROUND(SUMIFS(DATA_TM!$F$2:$F$500,DATA_TM!$A$2:$A$500,$A29,DATA_TM!$B$2:$B$500,"Millalemu 5")/60,1))</f>
        <v/>
      </c>
      <c r="L29" s="144" t="n"/>
      <c r="M29" s="188">
        <f>IF($A29="","",ROUND(SUMIFS(DATA_TM!$F$2:$F$500,DATA_TM!$A$2:$A$500,$A29,DATA_TM!$B$2:$B$500,"Millalemu 7")/60,1))</f>
        <v/>
      </c>
      <c r="N29" s="144" t="n"/>
      <c r="O29" s="188">
        <f>IF($A29="","",ROUND(SUMIFS(DATA_TM!$F$2:$F$500,DATA_TM!$A$2:$A$500,$A29,DATA_TM!$B$2:$B$500,"Millalemu 9")/60,1))</f>
        <v/>
      </c>
      <c r="P29" s="144" t="n"/>
      <c r="Q29" s="188">
        <f>IF($A29="","",ROUND(SUMIFS(DATA_TM!$F$2:$F$500,DATA_TM!$A$2:$A$500,$A29,DATA_TM!$B$2:$B$500,"Millalemu 11")/60,1))</f>
        <v/>
      </c>
      <c r="R29" s="144" t="n"/>
      <c r="S29" s="201">
        <f>IF($A29="","",ROUND(SUMIFS(DATA_TM!$F$2:$F$500,DATA_TM!$A$2:$A$500,$A29)/60,1))</f>
        <v/>
      </c>
      <c r="T29" s="189">
        <f>IF($A29="","",COUNTIFS(DATA_TM!$A$2:$A$500,$A29))</f>
        <v/>
      </c>
      <c r="U29">
        <f>IF($A29="","",IF(S29=0,"OK",IF(S29&lt;=2,"LEVE",IF(S29&lt;=8,"ATENCIÓN","CRÍTICO"))))</f>
        <v/>
      </c>
    </row>
    <row r="30">
      <c r="A30" s="196">
        <f>IF(21&gt;DATA_CONFIG!$B$4,"",21)</f>
        <v/>
      </c>
      <c r="B30" s="94">
        <f>IF(A30="","",TEXT(DATE(DATA_CONFIG!$B$3,DATA_CONFIG!$B$2,A30),"ddd"))</f>
        <v/>
      </c>
      <c r="C30" s="188">
        <f>IF($A30="","",ROUND(SUMIFS(DATA_TM!$F$2:$F$500,DATA_TM!$A$2:$A$500,$A30,DATA_TM!$B$2:$B$500,"Millalemu 1.1")/60,1))</f>
        <v/>
      </c>
      <c r="D30" s="144" t="n"/>
      <c r="E30" s="188">
        <f>IF($A30="","",ROUND(SUMIFS(DATA_TM!$F$2:$F$500,DATA_TM!$A$2:$A$500,$A30,DATA_TM!$B$2:$B$500,"Millalemu 1.2")/60,1))</f>
        <v/>
      </c>
      <c r="F30" s="144" t="n"/>
      <c r="G30" s="188">
        <f>IF($A30="","",ROUND(SUMIFS(DATA_TM!$F$2:$F$500,DATA_TM!$A$2:$A$500,$A30,DATA_TM!$B$2:$B$500,"Millalemu 1.3")/60,1))</f>
        <v/>
      </c>
      <c r="H30" s="144" t="n"/>
      <c r="I30" s="188">
        <f>IF($A30="","",ROUND(SUMIFS(DATA_TM!$F$2:$F$500,DATA_TM!$A$2:$A$500,$A30,DATA_TM!$B$2:$B$500,"Millalemu 1.4")/60,1))</f>
        <v/>
      </c>
      <c r="J30" s="144" t="n"/>
      <c r="K30" s="188">
        <f>IF($A30="","",ROUND(SUMIFS(DATA_TM!$F$2:$F$500,DATA_TM!$A$2:$A$500,$A30,DATA_TM!$B$2:$B$500,"Millalemu 5")/60,1))</f>
        <v/>
      </c>
      <c r="L30" s="144" t="n"/>
      <c r="M30" s="188">
        <f>IF($A30="","",ROUND(SUMIFS(DATA_TM!$F$2:$F$500,DATA_TM!$A$2:$A$500,$A30,DATA_TM!$B$2:$B$500,"Millalemu 7")/60,1))</f>
        <v/>
      </c>
      <c r="N30" s="144" t="n"/>
      <c r="O30" s="188">
        <f>IF($A30="","",ROUND(SUMIFS(DATA_TM!$F$2:$F$500,DATA_TM!$A$2:$A$500,$A30,DATA_TM!$B$2:$B$500,"Millalemu 9")/60,1))</f>
        <v/>
      </c>
      <c r="P30" s="144" t="n"/>
      <c r="Q30" s="188">
        <f>IF($A30="","",ROUND(SUMIFS(DATA_TM!$F$2:$F$500,DATA_TM!$A$2:$A$500,$A30,DATA_TM!$B$2:$B$500,"Millalemu 11")/60,1))</f>
        <v/>
      </c>
      <c r="R30" s="144" t="n"/>
      <c r="S30" s="201">
        <f>IF($A30="","",ROUND(SUMIFS(DATA_TM!$F$2:$F$500,DATA_TM!$A$2:$A$500,$A30)/60,1))</f>
        <v/>
      </c>
      <c r="T30" s="189">
        <f>IF($A30="","",COUNTIFS(DATA_TM!$A$2:$A$500,$A30))</f>
        <v/>
      </c>
      <c r="U30">
        <f>IF($A30="","",IF(S30=0,"OK",IF(S30&lt;=2,"LEVE",IF(S30&lt;=8,"ATENCIÓN","CRÍTICO"))))</f>
        <v/>
      </c>
    </row>
    <row r="31">
      <c r="A31" s="196">
        <f>IF(22&gt;DATA_CONFIG!$B$4,"",22)</f>
        <v/>
      </c>
      <c r="B31" s="94">
        <f>IF(A31="","",TEXT(DATE(DATA_CONFIG!$B$3,DATA_CONFIG!$B$2,A31),"ddd"))</f>
        <v/>
      </c>
      <c r="C31" s="188">
        <f>IF($A31="","",ROUND(SUMIFS(DATA_TM!$F$2:$F$500,DATA_TM!$A$2:$A$500,$A31,DATA_TM!$B$2:$B$500,"Millalemu 1.1")/60,1))</f>
        <v/>
      </c>
      <c r="D31" s="144" t="n"/>
      <c r="E31" s="188">
        <f>IF($A31="","",ROUND(SUMIFS(DATA_TM!$F$2:$F$500,DATA_TM!$A$2:$A$500,$A31,DATA_TM!$B$2:$B$500,"Millalemu 1.2")/60,1))</f>
        <v/>
      </c>
      <c r="F31" s="144" t="n"/>
      <c r="G31" s="188">
        <f>IF($A31="","",ROUND(SUMIFS(DATA_TM!$F$2:$F$500,DATA_TM!$A$2:$A$500,$A31,DATA_TM!$B$2:$B$500,"Millalemu 1.3")/60,1))</f>
        <v/>
      </c>
      <c r="H31" s="144" t="n"/>
      <c r="I31" s="188">
        <f>IF($A31="","",ROUND(SUMIFS(DATA_TM!$F$2:$F$500,DATA_TM!$A$2:$A$500,$A31,DATA_TM!$B$2:$B$500,"Millalemu 1.4")/60,1))</f>
        <v/>
      </c>
      <c r="J31" s="144" t="n"/>
      <c r="K31" s="188">
        <f>IF($A31="","",ROUND(SUMIFS(DATA_TM!$F$2:$F$500,DATA_TM!$A$2:$A$500,$A31,DATA_TM!$B$2:$B$500,"Millalemu 5")/60,1))</f>
        <v/>
      </c>
      <c r="L31" s="144" t="n"/>
      <c r="M31" s="188">
        <f>IF($A31="","",ROUND(SUMIFS(DATA_TM!$F$2:$F$500,DATA_TM!$A$2:$A$500,$A31,DATA_TM!$B$2:$B$500,"Millalemu 7")/60,1))</f>
        <v/>
      </c>
      <c r="N31" s="144" t="n"/>
      <c r="O31" s="188">
        <f>IF($A31="","",ROUND(SUMIFS(DATA_TM!$F$2:$F$500,DATA_TM!$A$2:$A$500,$A31,DATA_TM!$B$2:$B$500,"Millalemu 9")/60,1))</f>
        <v/>
      </c>
      <c r="P31" s="144" t="n"/>
      <c r="Q31" s="188">
        <f>IF($A31="","",ROUND(SUMIFS(DATA_TM!$F$2:$F$500,DATA_TM!$A$2:$A$500,$A31,DATA_TM!$B$2:$B$500,"Millalemu 11")/60,1))</f>
        <v/>
      </c>
      <c r="R31" s="144" t="n"/>
      <c r="S31" s="201">
        <f>IF($A31="","",ROUND(SUMIFS(DATA_TM!$F$2:$F$500,DATA_TM!$A$2:$A$500,$A31)/60,1))</f>
        <v/>
      </c>
      <c r="T31" s="189">
        <f>IF($A31="","",COUNTIFS(DATA_TM!$A$2:$A$500,$A31))</f>
        <v/>
      </c>
      <c r="U31">
        <f>IF($A31="","",IF(S31=0,"OK",IF(S31&lt;=2,"LEVE",IF(S31&lt;=8,"ATENCIÓN","CRÍTICO"))))</f>
        <v/>
      </c>
    </row>
    <row r="32">
      <c r="A32" s="196">
        <f>IF(23&gt;DATA_CONFIG!$B$4,"",23)</f>
        <v/>
      </c>
      <c r="B32" s="94">
        <f>IF(A32="","",TEXT(DATE(DATA_CONFIG!$B$3,DATA_CONFIG!$B$2,A32),"ddd"))</f>
        <v/>
      </c>
      <c r="C32" s="188">
        <f>IF($A32="","",ROUND(SUMIFS(DATA_TM!$F$2:$F$500,DATA_TM!$A$2:$A$500,$A32,DATA_TM!$B$2:$B$500,"Millalemu 1.1")/60,1))</f>
        <v/>
      </c>
      <c r="D32" s="144" t="n"/>
      <c r="E32" s="188">
        <f>IF($A32="","",ROUND(SUMIFS(DATA_TM!$F$2:$F$500,DATA_TM!$A$2:$A$500,$A32,DATA_TM!$B$2:$B$500,"Millalemu 1.2")/60,1))</f>
        <v/>
      </c>
      <c r="F32" s="144" t="n"/>
      <c r="G32" s="188">
        <f>IF($A32="","",ROUND(SUMIFS(DATA_TM!$F$2:$F$500,DATA_TM!$A$2:$A$500,$A32,DATA_TM!$B$2:$B$500,"Millalemu 1.3")/60,1))</f>
        <v/>
      </c>
      <c r="H32" s="144" t="n"/>
      <c r="I32" s="188">
        <f>IF($A32="","",ROUND(SUMIFS(DATA_TM!$F$2:$F$500,DATA_TM!$A$2:$A$500,$A32,DATA_TM!$B$2:$B$500,"Millalemu 1.4")/60,1))</f>
        <v/>
      </c>
      <c r="J32" s="144" t="n"/>
      <c r="K32" s="188">
        <f>IF($A32="","",ROUND(SUMIFS(DATA_TM!$F$2:$F$500,DATA_TM!$A$2:$A$500,$A32,DATA_TM!$B$2:$B$500,"Millalemu 5")/60,1))</f>
        <v/>
      </c>
      <c r="L32" s="144" t="n"/>
      <c r="M32" s="188">
        <f>IF($A32="","",ROUND(SUMIFS(DATA_TM!$F$2:$F$500,DATA_TM!$A$2:$A$500,$A32,DATA_TM!$B$2:$B$500,"Millalemu 7")/60,1))</f>
        <v/>
      </c>
      <c r="N32" s="144" t="n"/>
      <c r="O32" s="188">
        <f>IF($A32="","",ROUND(SUMIFS(DATA_TM!$F$2:$F$500,DATA_TM!$A$2:$A$500,$A32,DATA_TM!$B$2:$B$500,"Millalemu 9")/60,1))</f>
        <v/>
      </c>
      <c r="P32" s="144" t="n"/>
      <c r="Q32" s="188">
        <f>IF($A32="","",ROUND(SUMIFS(DATA_TM!$F$2:$F$500,DATA_TM!$A$2:$A$500,$A32,DATA_TM!$B$2:$B$500,"Millalemu 11")/60,1))</f>
        <v/>
      </c>
      <c r="R32" s="144" t="n"/>
      <c r="S32" s="201">
        <f>IF($A32="","",ROUND(SUMIFS(DATA_TM!$F$2:$F$500,DATA_TM!$A$2:$A$500,$A32)/60,1))</f>
        <v/>
      </c>
      <c r="T32" s="189">
        <f>IF($A32="","",COUNTIFS(DATA_TM!$A$2:$A$500,$A32))</f>
        <v/>
      </c>
      <c r="U32">
        <f>IF($A32="","",IF(S32=0,"OK",IF(S32&lt;=2,"LEVE",IF(S32&lt;=8,"ATENCIÓN","CRÍTICO"))))</f>
        <v/>
      </c>
    </row>
    <row r="33">
      <c r="A33" s="196">
        <f>IF(24&gt;DATA_CONFIG!$B$4,"",24)</f>
        <v/>
      </c>
      <c r="B33" s="94">
        <f>IF(A33="","",TEXT(DATE(DATA_CONFIG!$B$3,DATA_CONFIG!$B$2,A33),"ddd"))</f>
        <v/>
      </c>
      <c r="C33" s="188">
        <f>IF($A33="","",ROUND(SUMIFS(DATA_TM!$F$2:$F$500,DATA_TM!$A$2:$A$500,$A33,DATA_TM!$B$2:$B$500,"Millalemu 1.1")/60,1))</f>
        <v/>
      </c>
      <c r="D33" s="144" t="n"/>
      <c r="E33" s="188">
        <f>IF($A33="","",ROUND(SUMIFS(DATA_TM!$F$2:$F$500,DATA_TM!$A$2:$A$500,$A33,DATA_TM!$B$2:$B$500,"Millalemu 1.2")/60,1))</f>
        <v/>
      </c>
      <c r="F33" s="144" t="n"/>
      <c r="G33" s="188">
        <f>IF($A33="","",ROUND(SUMIFS(DATA_TM!$F$2:$F$500,DATA_TM!$A$2:$A$500,$A33,DATA_TM!$B$2:$B$500,"Millalemu 1.3")/60,1))</f>
        <v/>
      </c>
      <c r="H33" s="144" t="n"/>
      <c r="I33" s="188">
        <f>IF($A33="","",ROUND(SUMIFS(DATA_TM!$F$2:$F$500,DATA_TM!$A$2:$A$500,$A33,DATA_TM!$B$2:$B$500,"Millalemu 1.4")/60,1))</f>
        <v/>
      </c>
      <c r="J33" s="144" t="n"/>
      <c r="K33" s="188">
        <f>IF($A33="","",ROUND(SUMIFS(DATA_TM!$F$2:$F$500,DATA_TM!$A$2:$A$500,$A33,DATA_TM!$B$2:$B$500,"Millalemu 5")/60,1))</f>
        <v/>
      </c>
      <c r="L33" s="144" t="n"/>
      <c r="M33" s="188">
        <f>IF($A33="","",ROUND(SUMIFS(DATA_TM!$F$2:$F$500,DATA_TM!$A$2:$A$500,$A33,DATA_TM!$B$2:$B$500,"Millalemu 7")/60,1))</f>
        <v/>
      </c>
      <c r="N33" s="144" t="n"/>
      <c r="O33" s="188">
        <f>IF($A33="","",ROUND(SUMIFS(DATA_TM!$F$2:$F$500,DATA_TM!$A$2:$A$500,$A33,DATA_TM!$B$2:$B$500,"Millalemu 9")/60,1))</f>
        <v/>
      </c>
      <c r="P33" s="144" t="n"/>
      <c r="Q33" s="188">
        <f>IF($A33="","",ROUND(SUMIFS(DATA_TM!$F$2:$F$500,DATA_TM!$A$2:$A$500,$A33,DATA_TM!$B$2:$B$500,"Millalemu 11")/60,1))</f>
        <v/>
      </c>
      <c r="R33" s="144" t="n"/>
      <c r="S33" s="201">
        <f>IF($A33="","",ROUND(SUMIFS(DATA_TM!$F$2:$F$500,DATA_TM!$A$2:$A$500,$A33)/60,1))</f>
        <v/>
      </c>
      <c r="T33" s="189">
        <f>IF($A33="","",COUNTIFS(DATA_TM!$A$2:$A$500,$A33))</f>
        <v/>
      </c>
      <c r="U33">
        <f>IF($A33="","",IF(S33=0,"OK",IF(S33&lt;=2,"LEVE",IF(S33&lt;=8,"ATENCIÓN","CRÍTICO"))))</f>
        <v/>
      </c>
    </row>
    <row r="34">
      <c r="A34" s="196">
        <f>IF(25&gt;DATA_CONFIG!$B$4,"",25)</f>
        <v/>
      </c>
      <c r="B34" s="94">
        <f>IF(A34="","",TEXT(DATE(DATA_CONFIG!$B$3,DATA_CONFIG!$B$2,A34),"ddd"))</f>
        <v/>
      </c>
      <c r="C34" s="188">
        <f>IF($A34="","",ROUND(SUMIFS(DATA_TM!$F$2:$F$500,DATA_TM!$A$2:$A$500,$A34,DATA_TM!$B$2:$B$500,"Millalemu 1.1")/60,1))</f>
        <v/>
      </c>
      <c r="D34" s="144" t="n"/>
      <c r="E34" s="188">
        <f>IF($A34="","",ROUND(SUMIFS(DATA_TM!$F$2:$F$500,DATA_TM!$A$2:$A$500,$A34,DATA_TM!$B$2:$B$500,"Millalemu 1.2")/60,1))</f>
        <v/>
      </c>
      <c r="F34" s="144" t="n"/>
      <c r="G34" s="188">
        <f>IF($A34="","",ROUND(SUMIFS(DATA_TM!$F$2:$F$500,DATA_TM!$A$2:$A$500,$A34,DATA_TM!$B$2:$B$500,"Millalemu 1.3")/60,1))</f>
        <v/>
      </c>
      <c r="H34" s="144" t="n"/>
      <c r="I34" s="188">
        <f>IF($A34="","",ROUND(SUMIFS(DATA_TM!$F$2:$F$500,DATA_TM!$A$2:$A$500,$A34,DATA_TM!$B$2:$B$500,"Millalemu 1.4")/60,1))</f>
        <v/>
      </c>
      <c r="J34" s="144" t="n"/>
      <c r="K34" s="188">
        <f>IF($A34="","",ROUND(SUMIFS(DATA_TM!$F$2:$F$500,DATA_TM!$A$2:$A$500,$A34,DATA_TM!$B$2:$B$500,"Millalemu 5")/60,1))</f>
        <v/>
      </c>
      <c r="L34" s="144" t="n"/>
      <c r="M34" s="188">
        <f>IF($A34="","",ROUND(SUMIFS(DATA_TM!$F$2:$F$500,DATA_TM!$A$2:$A$500,$A34,DATA_TM!$B$2:$B$500,"Millalemu 7")/60,1))</f>
        <v/>
      </c>
      <c r="N34" s="144" t="n"/>
      <c r="O34" s="188">
        <f>IF($A34="","",ROUND(SUMIFS(DATA_TM!$F$2:$F$500,DATA_TM!$A$2:$A$500,$A34,DATA_TM!$B$2:$B$500,"Millalemu 9")/60,1))</f>
        <v/>
      </c>
      <c r="P34" s="144" t="n"/>
      <c r="Q34" s="188">
        <f>IF($A34="","",ROUND(SUMIFS(DATA_TM!$F$2:$F$500,DATA_TM!$A$2:$A$500,$A34,DATA_TM!$B$2:$B$500,"Millalemu 11")/60,1))</f>
        <v/>
      </c>
      <c r="R34" s="144" t="n"/>
      <c r="S34" s="201">
        <f>IF($A34="","",ROUND(SUMIFS(DATA_TM!$F$2:$F$500,DATA_TM!$A$2:$A$500,$A34)/60,1))</f>
        <v/>
      </c>
      <c r="T34" s="189">
        <f>IF($A34="","",COUNTIFS(DATA_TM!$A$2:$A$500,$A34))</f>
        <v/>
      </c>
      <c r="U34">
        <f>IF($A34="","",IF(S34=0,"OK",IF(S34&lt;=2,"LEVE",IF(S34&lt;=8,"ATENCIÓN","CRÍTICO"))))</f>
        <v/>
      </c>
    </row>
    <row r="35">
      <c r="A35" s="196">
        <f>IF(26&gt;DATA_CONFIG!$B$4,"",26)</f>
        <v/>
      </c>
      <c r="B35" s="94">
        <f>IF(A35="","",TEXT(DATE(DATA_CONFIG!$B$3,DATA_CONFIG!$B$2,A35),"ddd"))</f>
        <v/>
      </c>
      <c r="C35" s="188">
        <f>IF($A35="","",ROUND(SUMIFS(DATA_TM!$F$2:$F$500,DATA_TM!$A$2:$A$500,$A35,DATA_TM!$B$2:$B$500,"Millalemu 1.1")/60,1))</f>
        <v/>
      </c>
      <c r="D35" s="144" t="n"/>
      <c r="E35" s="188">
        <f>IF($A35="","",ROUND(SUMIFS(DATA_TM!$F$2:$F$500,DATA_TM!$A$2:$A$500,$A35,DATA_TM!$B$2:$B$500,"Millalemu 1.2")/60,1))</f>
        <v/>
      </c>
      <c r="F35" s="144" t="n"/>
      <c r="G35" s="188">
        <f>IF($A35="","",ROUND(SUMIFS(DATA_TM!$F$2:$F$500,DATA_TM!$A$2:$A$500,$A35,DATA_TM!$B$2:$B$500,"Millalemu 1.3")/60,1))</f>
        <v/>
      </c>
      <c r="H35" s="144" t="n"/>
      <c r="I35" s="188">
        <f>IF($A35="","",ROUND(SUMIFS(DATA_TM!$F$2:$F$500,DATA_TM!$A$2:$A$500,$A35,DATA_TM!$B$2:$B$500,"Millalemu 1.4")/60,1))</f>
        <v/>
      </c>
      <c r="J35" s="144" t="n"/>
      <c r="K35" s="188">
        <f>IF($A35="","",ROUND(SUMIFS(DATA_TM!$F$2:$F$500,DATA_TM!$A$2:$A$500,$A35,DATA_TM!$B$2:$B$500,"Millalemu 5")/60,1))</f>
        <v/>
      </c>
      <c r="L35" s="144" t="n"/>
      <c r="M35" s="188">
        <f>IF($A35="","",ROUND(SUMIFS(DATA_TM!$F$2:$F$500,DATA_TM!$A$2:$A$500,$A35,DATA_TM!$B$2:$B$500,"Millalemu 7")/60,1))</f>
        <v/>
      </c>
      <c r="N35" s="144" t="n"/>
      <c r="O35" s="188">
        <f>IF($A35="","",ROUND(SUMIFS(DATA_TM!$F$2:$F$500,DATA_TM!$A$2:$A$500,$A35,DATA_TM!$B$2:$B$500,"Millalemu 9")/60,1))</f>
        <v/>
      </c>
      <c r="P35" s="144" t="n"/>
      <c r="Q35" s="188">
        <f>IF($A35="","",ROUND(SUMIFS(DATA_TM!$F$2:$F$500,DATA_TM!$A$2:$A$500,$A35,DATA_TM!$B$2:$B$500,"Millalemu 11")/60,1))</f>
        <v/>
      </c>
      <c r="R35" s="144" t="n"/>
      <c r="S35" s="201">
        <f>IF($A35="","",ROUND(SUMIFS(DATA_TM!$F$2:$F$500,DATA_TM!$A$2:$A$500,$A35)/60,1))</f>
        <v/>
      </c>
      <c r="T35" s="189">
        <f>IF($A35="","",COUNTIFS(DATA_TM!$A$2:$A$500,$A35))</f>
        <v/>
      </c>
      <c r="U35">
        <f>IF($A35="","",IF(S35=0,"OK",IF(S35&lt;=2,"LEVE",IF(S35&lt;=8,"ATENCIÓN","CRÍTICO"))))</f>
        <v/>
      </c>
    </row>
    <row r="36">
      <c r="A36" s="196">
        <f>IF(27&gt;DATA_CONFIG!$B$4,"",27)</f>
        <v/>
      </c>
      <c r="B36" s="94">
        <f>IF(A36="","",TEXT(DATE(DATA_CONFIG!$B$3,DATA_CONFIG!$B$2,A36),"ddd"))</f>
        <v/>
      </c>
      <c r="C36" s="188">
        <f>IF($A36="","",ROUND(SUMIFS(DATA_TM!$F$2:$F$500,DATA_TM!$A$2:$A$500,$A36,DATA_TM!$B$2:$B$500,"Millalemu 1.1")/60,1))</f>
        <v/>
      </c>
      <c r="D36" s="144" t="n"/>
      <c r="E36" s="188">
        <f>IF($A36="","",ROUND(SUMIFS(DATA_TM!$F$2:$F$500,DATA_TM!$A$2:$A$500,$A36,DATA_TM!$B$2:$B$500,"Millalemu 1.2")/60,1))</f>
        <v/>
      </c>
      <c r="F36" s="144" t="n"/>
      <c r="G36" s="188">
        <f>IF($A36="","",ROUND(SUMIFS(DATA_TM!$F$2:$F$500,DATA_TM!$A$2:$A$500,$A36,DATA_TM!$B$2:$B$500,"Millalemu 1.3")/60,1))</f>
        <v/>
      </c>
      <c r="H36" s="144" t="n"/>
      <c r="I36" s="188">
        <f>IF($A36="","",ROUND(SUMIFS(DATA_TM!$F$2:$F$500,DATA_TM!$A$2:$A$500,$A36,DATA_TM!$B$2:$B$500,"Millalemu 1.4")/60,1))</f>
        <v/>
      </c>
      <c r="J36" s="144" t="n"/>
      <c r="K36" s="188">
        <f>IF($A36="","",ROUND(SUMIFS(DATA_TM!$F$2:$F$500,DATA_TM!$A$2:$A$500,$A36,DATA_TM!$B$2:$B$500,"Millalemu 5")/60,1))</f>
        <v/>
      </c>
      <c r="L36" s="144" t="n"/>
      <c r="M36" s="188">
        <f>IF($A36="","",ROUND(SUMIFS(DATA_TM!$F$2:$F$500,DATA_TM!$A$2:$A$500,$A36,DATA_TM!$B$2:$B$500,"Millalemu 7")/60,1))</f>
        <v/>
      </c>
      <c r="N36" s="144" t="n"/>
      <c r="O36" s="188">
        <f>IF($A36="","",ROUND(SUMIFS(DATA_TM!$F$2:$F$500,DATA_TM!$A$2:$A$500,$A36,DATA_TM!$B$2:$B$500,"Millalemu 9")/60,1))</f>
        <v/>
      </c>
      <c r="P36" s="144" t="n"/>
      <c r="Q36" s="188">
        <f>IF($A36="","",ROUND(SUMIFS(DATA_TM!$F$2:$F$500,DATA_TM!$A$2:$A$500,$A36,DATA_TM!$B$2:$B$500,"Millalemu 11")/60,1))</f>
        <v/>
      </c>
      <c r="R36" s="144" t="n"/>
      <c r="S36" s="201">
        <f>IF($A36="","",ROUND(SUMIFS(DATA_TM!$F$2:$F$500,DATA_TM!$A$2:$A$500,$A36)/60,1))</f>
        <v/>
      </c>
      <c r="T36" s="189">
        <f>IF($A36="","",COUNTIFS(DATA_TM!$A$2:$A$500,$A36))</f>
        <v/>
      </c>
      <c r="U36">
        <f>IF($A36="","",IF(S36=0,"OK",IF(S36&lt;=2,"LEVE",IF(S36&lt;=8,"ATENCIÓN","CRÍTICO"))))</f>
        <v/>
      </c>
    </row>
    <row r="37">
      <c r="A37" s="196">
        <f>IF(28&gt;DATA_CONFIG!$B$4,"",28)</f>
        <v/>
      </c>
      <c r="B37" s="94">
        <f>IF(A37="","",TEXT(DATE(DATA_CONFIG!$B$3,DATA_CONFIG!$B$2,A37),"ddd"))</f>
        <v/>
      </c>
      <c r="C37" s="188">
        <f>IF($A37="","",ROUND(SUMIFS(DATA_TM!$F$2:$F$500,DATA_TM!$A$2:$A$500,$A37,DATA_TM!$B$2:$B$500,"Millalemu 1.1")/60,1))</f>
        <v/>
      </c>
      <c r="D37" s="144" t="n"/>
      <c r="E37" s="188">
        <f>IF($A37="","",ROUND(SUMIFS(DATA_TM!$F$2:$F$500,DATA_TM!$A$2:$A$500,$A37,DATA_TM!$B$2:$B$500,"Millalemu 1.2")/60,1))</f>
        <v/>
      </c>
      <c r="F37" s="144" t="n"/>
      <c r="G37" s="188">
        <f>IF($A37="","",ROUND(SUMIFS(DATA_TM!$F$2:$F$500,DATA_TM!$A$2:$A$500,$A37,DATA_TM!$B$2:$B$500,"Millalemu 1.3")/60,1))</f>
        <v/>
      </c>
      <c r="H37" s="144" t="n"/>
      <c r="I37" s="188">
        <f>IF($A37="","",ROUND(SUMIFS(DATA_TM!$F$2:$F$500,DATA_TM!$A$2:$A$500,$A37,DATA_TM!$B$2:$B$500,"Millalemu 1.4")/60,1))</f>
        <v/>
      </c>
      <c r="J37" s="144" t="n"/>
      <c r="K37" s="188">
        <f>IF($A37="","",ROUND(SUMIFS(DATA_TM!$F$2:$F$500,DATA_TM!$A$2:$A$500,$A37,DATA_TM!$B$2:$B$500,"Millalemu 5")/60,1))</f>
        <v/>
      </c>
      <c r="L37" s="144" t="n"/>
      <c r="M37" s="188">
        <f>IF($A37="","",ROUND(SUMIFS(DATA_TM!$F$2:$F$500,DATA_TM!$A$2:$A$500,$A37,DATA_TM!$B$2:$B$500,"Millalemu 7")/60,1))</f>
        <v/>
      </c>
      <c r="N37" s="144" t="n"/>
      <c r="O37" s="188">
        <f>IF($A37="","",ROUND(SUMIFS(DATA_TM!$F$2:$F$500,DATA_TM!$A$2:$A$500,$A37,DATA_TM!$B$2:$B$500,"Millalemu 9")/60,1))</f>
        <v/>
      </c>
      <c r="P37" s="144" t="n"/>
      <c r="Q37" s="188">
        <f>IF($A37="","",ROUND(SUMIFS(DATA_TM!$F$2:$F$500,DATA_TM!$A$2:$A$500,$A37,DATA_TM!$B$2:$B$500,"Millalemu 11")/60,1))</f>
        <v/>
      </c>
      <c r="R37" s="144" t="n"/>
      <c r="S37" s="201">
        <f>IF($A37="","",ROUND(SUMIFS(DATA_TM!$F$2:$F$500,DATA_TM!$A$2:$A$500,$A37)/60,1))</f>
        <v/>
      </c>
      <c r="T37" s="189">
        <f>IF($A37="","",COUNTIFS(DATA_TM!$A$2:$A$500,$A37))</f>
        <v/>
      </c>
      <c r="U37">
        <f>IF($A37="","",IF(S37=0,"OK",IF(S37&lt;=2,"LEVE",IF(S37&lt;=8,"ATENCIÓN","CRÍTICO"))))</f>
        <v/>
      </c>
    </row>
    <row r="38">
      <c r="A38" s="196">
        <f>IF(29&gt;DATA_CONFIG!$B$4,"",29)</f>
        <v/>
      </c>
      <c r="B38" s="94">
        <f>IF(A38="","",TEXT(DATE(DATA_CONFIG!$B$3,DATA_CONFIG!$B$2,A38),"ddd"))</f>
        <v/>
      </c>
      <c r="C38" s="188">
        <f>IF($A38="","",ROUND(SUMIFS(DATA_TM!$F$2:$F$500,DATA_TM!$A$2:$A$500,$A38,DATA_TM!$B$2:$B$500,"Millalemu 1.1")/60,1))</f>
        <v/>
      </c>
      <c r="D38" s="144" t="n"/>
      <c r="E38" s="188">
        <f>IF($A38="","",ROUND(SUMIFS(DATA_TM!$F$2:$F$500,DATA_TM!$A$2:$A$500,$A38,DATA_TM!$B$2:$B$500,"Millalemu 1.2")/60,1))</f>
        <v/>
      </c>
      <c r="F38" s="144" t="n"/>
      <c r="G38" s="188">
        <f>IF($A38="","",ROUND(SUMIFS(DATA_TM!$F$2:$F$500,DATA_TM!$A$2:$A$500,$A38,DATA_TM!$B$2:$B$500,"Millalemu 1.3")/60,1))</f>
        <v/>
      </c>
      <c r="H38" s="144" t="n"/>
      <c r="I38" s="188">
        <f>IF($A38="","",ROUND(SUMIFS(DATA_TM!$F$2:$F$500,DATA_TM!$A$2:$A$500,$A38,DATA_TM!$B$2:$B$500,"Millalemu 1.4")/60,1))</f>
        <v/>
      </c>
      <c r="J38" s="144" t="n"/>
      <c r="K38" s="188">
        <f>IF($A38="","",ROUND(SUMIFS(DATA_TM!$F$2:$F$500,DATA_TM!$A$2:$A$500,$A38,DATA_TM!$B$2:$B$500,"Millalemu 5")/60,1))</f>
        <v/>
      </c>
      <c r="L38" s="144" t="n"/>
      <c r="M38" s="188">
        <f>IF($A38="","",ROUND(SUMIFS(DATA_TM!$F$2:$F$500,DATA_TM!$A$2:$A$500,$A38,DATA_TM!$B$2:$B$500,"Millalemu 7")/60,1))</f>
        <v/>
      </c>
      <c r="N38" s="144" t="n"/>
      <c r="O38" s="188">
        <f>IF($A38="","",ROUND(SUMIFS(DATA_TM!$F$2:$F$500,DATA_TM!$A$2:$A$500,$A38,DATA_TM!$B$2:$B$500,"Millalemu 9")/60,1))</f>
        <v/>
      </c>
      <c r="P38" s="144" t="n"/>
      <c r="Q38" s="188">
        <f>IF($A38="","",ROUND(SUMIFS(DATA_TM!$F$2:$F$500,DATA_TM!$A$2:$A$500,$A38,DATA_TM!$B$2:$B$500,"Millalemu 11")/60,1))</f>
        <v/>
      </c>
      <c r="R38" s="144" t="n"/>
      <c r="S38" s="201">
        <f>IF($A38="","",ROUND(SUMIFS(DATA_TM!$F$2:$F$500,DATA_TM!$A$2:$A$500,$A38)/60,1))</f>
        <v/>
      </c>
      <c r="T38" s="189">
        <f>IF($A38="","",COUNTIFS(DATA_TM!$A$2:$A$500,$A38))</f>
        <v/>
      </c>
      <c r="U38">
        <f>IF($A38="","",IF(S38=0,"OK",IF(S38&lt;=2,"LEVE",IF(S38&lt;=8,"ATENCIÓN","CRÍTICO"))))</f>
        <v/>
      </c>
    </row>
    <row r="39">
      <c r="A39" s="196">
        <f>IF(30&gt;DATA_CONFIG!$B$4,"",30)</f>
        <v/>
      </c>
      <c r="B39" s="94">
        <f>IF(A39="","",TEXT(DATE(DATA_CONFIG!$B$3,DATA_CONFIG!$B$2,A39),"ddd"))</f>
        <v/>
      </c>
      <c r="C39" s="188">
        <f>IF($A39="","",ROUND(SUMIFS(DATA_TM!$F$2:$F$500,DATA_TM!$A$2:$A$500,$A39,DATA_TM!$B$2:$B$500,"Millalemu 1.1")/60,1))</f>
        <v/>
      </c>
      <c r="D39" s="144" t="n"/>
      <c r="E39" s="188">
        <f>IF($A39="","",ROUND(SUMIFS(DATA_TM!$F$2:$F$500,DATA_TM!$A$2:$A$500,$A39,DATA_TM!$B$2:$B$500,"Millalemu 1.2")/60,1))</f>
        <v/>
      </c>
      <c r="F39" s="144" t="n"/>
      <c r="G39" s="188">
        <f>IF($A39="","",ROUND(SUMIFS(DATA_TM!$F$2:$F$500,DATA_TM!$A$2:$A$500,$A39,DATA_TM!$B$2:$B$500,"Millalemu 1.3")/60,1))</f>
        <v/>
      </c>
      <c r="H39" s="144" t="n"/>
      <c r="I39" s="188">
        <f>IF($A39="","",ROUND(SUMIFS(DATA_TM!$F$2:$F$500,DATA_TM!$A$2:$A$500,$A39,DATA_TM!$B$2:$B$500,"Millalemu 1.4")/60,1))</f>
        <v/>
      </c>
      <c r="J39" s="144" t="n"/>
      <c r="K39" s="188">
        <f>IF($A39="","",ROUND(SUMIFS(DATA_TM!$F$2:$F$500,DATA_TM!$A$2:$A$500,$A39,DATA_TM!$B$2:$B$500,"Millalemu 5")/60,1))</f>
        <v/>
      </c>
      <c r="L39" s="144" t="n"/>
      <c r="M39" s="188">
        <f>IF($A39="","",ROUND(SUMIFS(DATA_TM!$F$2:$F$500,DATA_TM!$A$2:$A$500,$A39,DATA_TM!$B$2:$B$500,"Millalemu 7")/60,1))</f>
        <v/>
      </c>
      <c r="N39" s="144" t="n"/>
      <c r="O39" s="188">
        <f>IF($A39="","",ROUND(SUMIFS(DATA_TM!$F$2:$F$500,DATA_TM!$A$2:$A$500,$A39,DATA_TM!$B$2:$B$500,"Millalemu 9")/60,1))</f>
        <v/>
      </c>
      <c r="P39" s="144" t="n"/>
      <c r="Q39" s="188">
        <f>IF($A39="","",ROUND(SUMIFS(DATA_TM!$F$2:$F$500,DATA_TM!$A$2:$A$500,$A39,DATA_TM!$B$2:$B$500,"Millalemu 11")/60,1))</f>
        <v/>
      </c>
      <c r="R39" s="144" t="n"/>
      <c r="S39" s="201">
        <f>IF($A39="","",ROUND(SUMIFS(DATA_TM!$F$2:$F$500,DATA_TM!$A$2:$A$500,$A39)/60,1))</f>
        <v/>
      </c>
      <c r="T39" s="189">
        <f>IF($A39="","",COUNTIFS(DATA_TM!$A$2:$A$500,$A39))</f>
        <v/>
      </c>
      <c r="U39">
        <f>IF($A39="","",IF(S39=0,"OK",IF(S39&lt;=2,"LEVE",IF(S39&lt;=8,"ATENCIÓN","CRÍTICO"))))</f>
        <v/>
      </c>
    </row>
    <row r="40">
      <c r="A40" s="196">
        <f>IF(31&gt;DATA_CONFIG!$B$4,"",31)</f>
        <v/>
      </c>
      <c r="B40" s="94">
        <f>IF(A40="","",TEXT(DATE(DATA_CONFIG!$B$3,DATA_CONFIG!$B$2,A40),"ddd"))</f>
        <v/>
      </c>
      <c r="C40" s="188">
        <f>IF($A40="","",ROUND(SUMIFS(DATA_TM!$F$2:$F$500,DATA_TM!$A$2:$A$500,$A40,DATA_TM!$B$2:$B$500,"Millalemu 1.1")/60,1))</f>
        <v/>
      </c>
      <c r="D40" s="144" t="n"/>
      <c r="E40" s="188">
        <f>IF($A40="","",ROUND(SUMIFS(DATA_TM!$F$2:$F$500,DATA_TM!$A$2:$A$500,$A40,DATA_TM!$B$2:$B$500,"Millalemu 1.2")/60,1))</f>
        <v/>
      </c>
      <c r="F40" s="144" t="n"/>
      <c r="G40" s="188">
        <f>IF($A40="","",ROUND(SUMIFS(DATA_TM!$F$2:$F$500,DATA_TM!$A$2:$A$500,$A40,DATA_TM!$B$2:$B$500,"Millalemu 1.3")/60,1))</f>
        <v/>
      </c>
      <c r="H40" s="144" t="n"/>
      <c r="I40" s="188">
        <f>IF($A40="","",ROUND(SUMIFS(DATA_TM!$F$2:$F$500,DATA_TM!$A$2:$A$500,$A40,DATA_TM!$B$2:$B$500,"Millalemu 1.4")/60,1))</f>
        <v/>
      </c>
      <c r="J40" s="144" t="n"/>
      <c r="K40" s="188">
        <f>IF($A40="","",ROUND(SUMIFS(DATA_TM!$F$2:$F$500,DATA_TM!$A$2:$A$500,$A40,DATA_TM!$B$2:$B$500,"Millalemu 5")/60,1))</f>
        <v/>
      </c>
      <c r="L40" s="144" t="n"/>
      <c r="M40" s="188">
        <f>IF($A40="","",ROUND(SUMIFS(DATA_TM!$F$2:$F$500,DATA_TM!$A$2:$A$500,$A40,DATA_TM!$B$2:$B$500,"Millalemu 7")/60,1))</f>
        <v/>
      </c>
      <c r="N40" s="144" t="n"/>
      <c r="O40" s="188">
        <f>IF($A40="","",ROUND(SUMIFS(DATA_TM!$F$2:$F$500,DATA_TM!$A$2:$A$500,$A40,DATA_TM!$B$2:$B$500,"Millalemu 9")/60,1))</f>
        <v/>
      </c>
      <c r="P40" s="144" t="n"/>
      <c r="Q40" s="188">
        <f>IF($A40="","",ROUND(SUMIFS(DATA_TM!$F$2:$F$500,DATA_TM!$A$2:$A$500,$A40,DATA_TM!$B$2:$B$500,"Millalemu 11")/60,1))</f>
        <v/>
      </c>
      <c r="R40" s="144" t="n"/>
      <c r="S40" s="201">
        <f>IF($A40="","",ROUND(SUMIFS(DATA_TM!$F$2:$F$500,DATA_TM!$A$2:$A$500,$A40)/60,1))</f>
        <v/>
      </c>
      <c r="T40" s="189">
        <f>IF($A40="","",COUNTIFS(DATA_TM!$A$2:$A$500,$A40))</f>
        <v/>
      </c>
      <c r="U40">
        <f>IF($A40="","",IF(S40=0,"OK",IF(S40&lt;=2,"LEVE",IF(S40&lt;=8,"ATENCIÓN","CRÍTICO"))))</f>
        <v/>
      </c>
    </row>
    <row r="41">
      <c r="A41" s="207" t="inlineStr">
        <is>
          <t>TOTAL</t>
        </is>
      </c>
      <c r="B41" s="144" t="n"/>
      <c r="C41" s="204">
        <f>ROUND(SUMIFS(DATA_TM!$F$2:$F$500,DATA_TM!$B$2:$B$500,"Millalemu 1.1")/60,1)</f>
        <v/>
      </c>
      <c r="D41" s="144" t="n"/>
      <c r="E41" s="204">
        <f>ROUND(SUMIFS(DATA_TM!$F$2:$F$500,DATA_TM!$B$2:$B$500,"Millalemu 1.2")/60,1)</f>
        <v/>
      </c>
      <c r="F41" s="144" t="n"/>
      <c r="G41" s="204">
        <f>ROUND(SUMIFS(DATA_TM!$F$2:$F$500,DATA_TM!$B$2:$B$500,"Millalemu 1.3")/60,1)</f>
        <v/>
      </c>
      <c r="H41" s="144" t="n"/>
      <c r="I41" s="204">
        <f>ROUND(SUMIFS(DATA_TM!$F$2:$F$500,DATA_TM!$B$2:$B$500,"Millalemu 1.4")/60,1)</f>
        <v/>
      </c>
      <c r="J41" s="144" t="n"/>
      <c r="K41" s="204">
        <f>ROUND(SUMIFS(DATA_TM!$F$2:$F$500,DATA_TM!$B$2:$B$500,"Millalemu 5")/60,1)</f>
        <v/>
      </c>
      <c r="L41" s="144" t="n"/>
      <c r="M41" s="204">
        <f>ROUND(SUMIFS(DATA_TM!$F$2:$F$500,DATA_TM!$B$2:$B$500,"Millalemu 7")/60,1)</f>
        <v/>
      </c>
      <c r="N41" s="144" t="n"/>
      <c r="O41" s="204">
        <f>ROUND(SUMIFS(DATA_TM!$F$2:$F$500,DATA_TM!$B$2:$B$500,"Millalemu 9")/60,1)</f>
        <v/>
      </c>
      <c r="P41" s="144" t="n"/>
      <c r="Q41" s="204">
        <f>ROUND(SUMIFS(DATA_TM!$F$2:$F$500,DATA_TM!$B$2:$B$500,"Millalemu 11")/60,1)</f>
        <v/>
      </c>
      <c r="R41" s="144" t="n"/>
      <c r="S41" s="204">
        <f>ROUND(SUM(DATA_TM!F:F)/60,1)</f>
        <v/>
      </c>
      <c r="T41" s="95">
        <f>COUNTA(DATA_TM!C2:C500)</f>
        <v/>
      </c>
    </row>
    <row r="42">
      <c r="A42" s="228" t="inlineStr">
        <is>
          <t>PROMEDIO/DÍA</t>
        </is>
      </c>
      <c r="B42" s="144" t="n"/>
      <c r="C42" s="211">
        <f>IFERROR(ROUND(C41/DATA_CONFIG!B8,1),0)</f>
        <v/>
      </c>
      <c r="D42" s="144" t="n"/>
      <c r="E42" s="211">
        <f>IFERROR(ROUND(E41/DATA_CONFIG!B8,1),0)</f>
        <v/>
      </c>
      <c r="F42" s="144" t="n"/>
      <c r="G42" s="211">
        <f>IFERROR(ROUND(G41/DATA_CONFIG!B8,1),0)</f>
        <v/>
      </c>
      <c r="H42" s="144" t="n"/>
      <c r="I42" s="211">
        <f>IFERROR(ROUND(I41/DATA_CONFIG!B8,1),0)</f>
        <v/>
      </c>
      <c r="J42" s="144" t="n"/>
      <c r="K42" s="211">
        <f>IFERROR(ROUND(K41/DATA_CONFIG!B8,1),0)</f>
        <v/>
      </c>
      <c r="L42" s="144" t="n"/>
      <c r="M42" s="211">
        <f>IFERROR(ROUND(M41/DATA_CONFIG!B8,1),0)</f>
        <v/>
      </c>
      <c r="N42" s="144" t="n"/>
      <c r="O42" s="211">
        <f>IFERROR(ROUND(O41/DATA_CONFIG!B8,1),0)</f>
        <v/>
      </c>
      <c r="P42" s="144" t="n"/>
      <c r="Q42" s="211">
        <f>IFERROR(ROUND(Q41/DATA_CONFIG!B8,1),0)</f>
        <v/>
      </c>
      <c r="R42" s="144" t="n"/>
      <c r="S42" s="211">
        <f>IFERROR(ROUND(S41/DATA_CONFIG!B8,1),0)</f>
        <v/>
      </c>
    </row>
    <row r="44">
      <c r="A44" s="193" t="inlineStr">
        <is>
          <t>DESGLOSE POR CLASIFICACIÓN Y EQUIPO (HORAS)</t>
        </is>
      </c>
      <c r="B44" s="160" t="n"/>
      <c r="C44" s="160" t="n"/>
      <c r="D44" s="160" t="n"/>
      <c r="E44" s="160" t="n"/>
      <c r="F44" s="160" t="n"/>
      <c r="G44" s="160" t="n"/>
      <c r="H44" s="160" t="n"/>
      <c r="I44" s="160" t="n"/>
      <c r="J44" s="160" t="n"/>
      <c r="K44" s="160" t="n"/>
      <c r="L44" s="160" t="n"/>
      <c r="M44" s="160" t="n"/>
      <c r="N44" s="160" t="n"/>
      <c r="O44" s="160" t="n"/>
      <c r="P44" s="160" t="n"/>
      <c r="Q44" s="160" t="n"/>
      <c r="R44" s="160" t="n"/>
      <c r="S44" s="160" t="n"/>
      <c r="T44" s="160" t="n"/>
      <c r="U44" s="160" t="n"/>
      <c r="V44" s="144" t="n"/>
    </row>
    <row r="45">
      <c r="A45" s="146" t="inlineStr">
        <is>
          <t>Clasificación</t>
        </is>
      </c>
      <c r="B45" s="144" t="n"/>
      <c r="C45" s="146" t="inlineStr">
        <is>
          <t>Millalemu 1.1</t>
        </is>
      </c>
      <c r="D45" s="144" t="n"/>
      <c r="E45" s="146" t="inlineStr">
        <is>
          <t>Millalemu 1.2</t>
        </is>
      </c>
      <c r="F45" s="144" t="n"/>
      <c r="G45" s="146" t="inlineStr">
        <is>
          <t>Millalemu 1.3</t>
        </is>
      </c>
      <c r="H45" s="144" t="n"/>
      <c r="I45" s="146" t="inlineStr">
        <is>
          <t>Millalemu 1.4</t>
        </is>
      </c>
      <c r="J45" s="144" t="n"/>
      <c r="K45" s="146" t="inlineStr">
        <is>
          <t>Millalemu 5</t>
        </is>
      </c>
      <c r="L45" s="144" t="n"/>
      <c r="M45" s="146" t="inlineStr">
        <is>
          <t>Millalemu 7</t>
        </is>
      </c>
      <c r="N45" s="144" t="n"/>
      <c r="O45" s="146" t="inlineStr">
        <is>
          <t>Millalemu 9</t>
        </is>
      </c>
      <c r="P45" s="144" t="n"/>
      <c r="Q45" s="146" t="inlineStr">
        <is>
          <t>Millalemu 11</t>
        </is>
      </c>
      <c r="R45" s="144" t="n"/>
      <c r="S45" s="146" t="inlineStr">
        <is>
          <t>TOTAL</t>
        </is>
      </c>
      <c r="T45" s="144" t="n"/>
      <c r="U45" s="146" t="inlineStr">
        <is>
          <t>% del Total</t>
        </is>
      </c>
      <c r="V45" s="144" t="n"/>
    </row>
    <row r="46">
      <c r="A46" s="220" t="inlineStr">
        <is>
          <t>Mantención</t>
        </is>
      </c>
      <c r="B46" s="144" t="n"/>
      <c r="C46" s="201">
        <f>ROUND(SUMIFS(DATA_TM!$F$2:$F$500,DATA_TM!$B$2:$B$500,"Millalemu 1.1",DATA_TM!$E$2:$E$500,"Mantención")/60,1)</f>
        <v/>
      </c>
      <c r="D46" s="144" t="n"/>
      <c r="E46" s="201">
        <f>ROUND(SUMIFS(DATA_TM!$F$2:$F$500,DATA_TM!$B$2:$B$500,"Millalemu 1.2",DATA_TM!$E$2:$E$500,"Mantención")/60,1)</f>
        <v/>
      </c>
      <c r="F46" s="144" t="n"/>
      <c r="G46" s="201">
        <f>ROUND(SUMIFS(DATA_TM!$F$2:$F$500,DATA_TM!$B$2:$B$500,"Millalemu 1.3",DATA_TM!$E$2:$E$500,"Mantención")/60,1)</f>
        <v/>
      </c>
      <c r="H46" s="144" t="n"/>
      <c r="I46" s="201">
        <f>ROUND(SUMIFS(DATA_TM!$F$2:$F$500,DATA_TM!$B$2:$B$500,"Millalemu 1.4",DATA_TM!$E$2:$E$500,"Mantención")/60,1)</f>
        <v/>
      </c>
      <c r="J46" s="144" t="n"/>
      <c r="K46" s="201">
        <f>ROUND(SUMIFS(DATA_TM!$F$2:$F$500,DATA_TM!$B$2:$B$500,"Millalemu 5",DATA_TM!$E$2:$E$500,"Mantención")/60,1)</f>
        <v/>
      </c>
      <c r="L46" s="144" t="n"/>
      <c r="M46" s="201">
        <f>ROUND(SUMIFS(DATA_TM!$F$2:$F$500,DATA_TM!$B$2:$B$500,"Millalemu 7",DATA_TM!$E$2:$E$500,"Mantención")/60,1)</f>
        <v/>
      </c>
      <c r="N46" s="144" t="n"/>
      <c r="O46" s="201">
        <f>ROUND(SUMIFS(DATA_TM!$F$2:$F$500,DATA_TM!$B$2:$B$500,"Millalemu 9",DATA_TM!$E$2:$E$500,"Mantención")/60,1)</f>
        <v/>
      </c>
      <c r="P46" s="144" t="n"/>
      <c r="Q46" s="201">
        <f>ROUND(SUMIFS(DATA_TM!$F$2:$F$500,DATA_TM!$B$2:$B$500,"Millalemu 11",DATA_TM!$E$2:$E$500,"Mantención")/60,1)</f>
        <v/>
      </c>
      <c r="R46" s="144" t="n"/>
      <c r="S46" s="241">
        <f>ROUND(SUMIFS(DATA_TM!$F$2:$F$500,DATA_TM!$E$2:$E$500,"Mantención")/60,1)</f>
        <v/>
      </c>
      <c r="T46" s="144" t="n"/>
      <c r="U46" s="242">
        <f>IFERROR(S46/S49*100,0)</f>
        <v/>
      </c>
      <c r="V46" s="144" t="n"/>
    </row>
    <row r="47">
      <c r="A47" s="221" t="inlineStr">
        <is>
          <t>Operacional</t>
        </is>
      </c>
      <c r="B47" s="144" t="n"/>
      <c r="C47" s="188">
        <f>ROUND(SUMIFS(DATA_TM!$F$2:$F$500,DATA_TM!$B$2:$B$500,"Millalemu 1.1",DATA_TM!$E$2:$E$500,"Operacional")/60,1)</f>
        <v/>
      </c>
      <c r="D47" s="144" t="n"/>
      <c r="E47" s="188">
        <f>ROUND(SUMIFS(DATA_TM!$F$2:$F$500,DATA_TM!$B$2:$B$500,"Millalemu 1.2",DATA_TM!$E$2:$E$500,"Operacional")/60,1)</f>
        <v/>
      </c>
      <c r="F47" s="144" t="n"/>
      <c r="G47" s="188">
        <f>ROUND(SUMIFS(DATA_TM!$F$2:$F$500,DATA_TM!$B$2:$B$500,"Millalemu 1.3",DATA_TM!$E$2:$E$500,"Operacional")/60,1)</f>
        <v/>
      </c>
      <c r="H47" s="144" t="n"/>
      <c r="I47" s="188">
        <f>ROUND(SUMIFS(DATA_TM!$F$2:$F$500,DATA_TM!$B$2:$B$500,"Millalemu 1.4",DATA_TM!$E$2:$E$500,"Operacional")/60,1)</f>
        <v/>
      </c>
      <c r="J47" s="144" t="n"/>
      <c r="K47" s="188">
        <f>ROUND(SUMIFS(DATA_TM!$F$2:$F$500,DATA_TM!$B$2:$B$500,"Millalemu 5",DATA_TM!$E$2:$E$500,"Operacional")/60,1)</f>
        <v/>
      </c>
      <c r="L47" s="144" t="n"/>
      <c r="M47" s="188">
        <f>ROUND(SUMIFS(DATA_TM!$F$2:$F$500,DATA_TM!$B$2:$B$500,"Millalemu 7",DATA_TM!$E$2:$E$500,"Operacional")/60,1)</f>
        <v/>
      </c>
      <c r="N47" s="144" t="n"/>
      <c r="O47" s="188">
        <f>ROUND(SUMIFS(DATA_TM!$F$2:$F$500,DATA_TM!$B$2:$B$500,"Millalemu 9",DATA_TM!$E$2:$E$500,"Operacional")/60,1)</f>
        <v/>
      </c>
      <c r="P47" s="144" t="n"/>
      <c r="Q47" s="188">
        <f>ROUND(SUMIFS(DATA_TM!$F$2:$F$500,DATA_TM!$B$2:$B$500,"Millalemu 11",DATA_TM!$E$2:$E$500,"Operacional")/60,1)</f>
        <v/>
      </c>
      <c r="R47" s="144" t="n"/>
      <c r="S47" s="239">
        <f>ROUND(SUMIFS(DATA_TM!$F$2:$F$500,DATA_TM!$E$2:$E$500,"Operacional")/60,1)</f>
        <v/>
      </c>
      <c r="T47" s="144" t="n"/>
      <c r="U47" s="222">
        <f>IFERROR(S47/S49*100,0)</f>
        <v/>
      </c>
      <c r="V47" s="144" t="n"/>
    </row>
    <row r="48">
      <c r="A48" s="197" t="inlineStr">
        <is>
          <t>Proceso</t>
        </is>
      </c>
      <c r="B48" s="144" t="n"/>
      <c r="C48" s="188">
        <f>ROUND(SUMIFS(DATA_TM!$F$2:$F$500,DATA_TM!$B$2:$B$500,"Millalemu 1.1",DATA_TM!$E$2:$E$500,"Proceso")/60,1)</f>
        <v/>
      </c>
      <c r="D48" s="144" t="n"/>
      <c r="E48" s="188">
        <f>ROUND(SUMIFS(DATA_TM!$F$2:$F$500,DATA_TM!$B$2:$B$500,"Millalemu 1.2",DATA_TM!$E$2:$E$500,"Proceso")/60,1)</f>
        <v/>
      </c>
      <c r="F48" s="144" t="n"/>
      <c r="G48" s="188">
        <f>ROUND(SUMIFS(DATA_TM!$F$2:$F$500,DATA_TM!$B$2:$B$500,"Millalemu 1.3",DATA_TM!$E$2:$E$500,"Proceso")/60,1)</f>
        <v/>
      </c>
      <c r="H48" s="144" t="n"/>
      <c r="I48" s="188">
        <f>ROUND(SUMIFS(DATA_TM!$F$2:$F$500,DATA_TM!$B$2:$B$500,"Millalemu 1.4",DATA_TM!$E$2:$E$500,"Proceso")/60,1)</f>
        <v/>
      </c>
      <c r="J48" s="144" t="n"/>
      <c r="K48" s="188">
        <f>ROUND(SUMIFS(DATA_TM!$F$2:$F$500,DATA_TM!$B$2:$B$500,"Millalemu 5",DATA_TM!$E$2:$E$500,"Proceso")/60,1)</f>
        <v/>
      </c>
      <c r="L48" s="144" t="n"/>
      <c r="M48" s="188">
        <f>ROUND(SUMIFS(DATA_TM!$F$2:$F$500,DATA_TM!$B$2:$B$500,"Millalemu 7",DATA_TM!$E$2:$E$500,"Proceso")/60,1)</f>
        <v/>
      </c>
      <c r="N48" s="144" t="n"/>
      <c r="O48" s="188">
        <f>ROUND(SUMIFS(DATA_TM!$F$2:$F$500,DATA_TM!$B$2:$B$500,"Millalemu 9",DATA_TM!$E$2:$E$500,"Proceso")/60,1)</f>
        <v/>
      </c>
      <c r="P48" s="144" t="n"/>
      <c r="Q48" s="188">
        <f>ROUND(SUMIFS(DATA_TM!$F$2:$F$500,DATA_TM!$B$2:$B$500,"Millalemu 11",DATA_TM!$E$2:$E$500,"Proceso")/60,1)</f>
        <v/>
      </c>
      <c r="R48" s="144" t="n"/>
      <c r="S48" s="244">
        <f>ROUND(SUMIFS(DATA_TM!$F$2:$F$500,DATA_TM!$E$2:$E$500,"Proceso")/60,1)</f>
        <v/>
      </c>
      <c r="T48" s="144" t="n"/>
      <c r="U48" s="245">
        <f>IFERROR(S48/S49*100,0)</f>
        <v/>
      </c>
      <c r="V48" s="144" t="n"/>
    </row>
    <row r="49">
      <c r="A49" s="207" t="inlineStr">
        <is>
          <t>TOTAL</t>
        </is>
      </c>
      <c r="B49" s="144" t="n"/>
      <c r="C49" s="204">
        <f>SUM(C46:C48)</f>
        <v/>
      </c>
      <c r="D49" s="144" t="n"/>
      <c r="E49" s="204">
        <f>SUM(E46:E48)</f>
        <v/>
      </c>
      <c r="F49" s="144" t="n"/>
      <c r="G49" s="204">
        <f>SUM(G46:G48)</f>
        <v/>
      </c>
      <c r="H49" s="144" t="n"/>
      <c r="I49" s="204">
        <f>SUM(I46:I48)</f>
        <v/>
      </c>
      <c r="J49" s="144" t="n"/>
      <c r="K49" s="204">
        <f>SUM(K46:K48)</f>
        <v/>
      </c>
      <c r="L49" s="144" t="n"/>
      <c r="M49" s="204">
        <f>SUM(M46:M48)</f>
        <v/>
      </c>
      <c r="N49" s="144" t="n"/>
      <c r="O49" s="204">
        <f>SUM(O46:O48)</f>
        <v/>
      </c>
      <c r="P49" s="144" t="n"/>
      <c r="Q49" s="204">
        <f>SUM(Q46:Q48)</f>
        <v/>
      </c>
      <c r="R49" s="144" t="n"/>
      <c r="S49" s="204">
        <f>SUM(S46:S48)</f>
        <v/>
      </c>
      <c r="T49" s="144" t="n"/>
      <c r="U49" s="207" t="inlineStr">
        <is>
          <t>100.0%</t>
        </is>
      </c>
      <c r="V49" s="144" t="n"/>
    </row>
    <row r="52">
      <c r="A52" s="249" t="inlineStr">
        <is>
          <t>TOP 10 CAUSAS DE TIEMPOS MUERTOS — ANÁLISIS PARETO</t>
        </is>
      </c>
      <c r="B52" s="160" t="n"/>
      <c r="C52" s="160" t="n"/>
      <c r="D52" s="160" t="n"/>
      <c r="E52" s="160" t="n"/>
      <c r="F52" s="160" t="n"/>
      <c r="G52" s="160" t="n"/>
      <c r="H52" s="160" t="n"/>
      <c r="I52" s="160" t="n"/>
      <c r="J52" s="160" t="n"/>
      <c r="K52" s="160" t="n"/>
      <c r="L52" s="160" t="n"/>
      <c r="M52" s="160" t="n"/>
      <c r="N52" s="160" t="n"/>
      <c r="O52" s="160" t="n"/>
      <c r="P52" s="160" t="n"/>
      <c r="Q52" s="160" t="n"/>
      <c r="R52" s="160" t="n"/>
      <c r="S52" s="160" t="n"/>
      <c r="T52" s="160" t="n"/>
      <c r="U52" s="160" t="n"/>
      <c r="V52" s="144" t="n"/>
    </row>
    <row r="53">
      <c r="A53" s="214" t="inlineStr">
        <is>
          <t>#</t>
        </is>
      </c>
      <c r="B53" s="214" t="inlineStr">
        <is>
          <t>Causa / Descripción</t>
        </is>
      </c>
      <c r="C53" s="160" t="n"/>
      <c r="D53" s="160" t="n"/>
      <c r="E53" s="160" t="n"/>
      <c r="F53" s="144" t="n"/>
      <c r="G53" s="214" t="inlineStr">
        <is>
          <t>Cód</t>
        </is>
      </c>
      <c r="H53" s="214" t="inlineStr">
        <is>
          <t>Clasificación</t>
        </is>
      </c>
      <c r="I53" s="144" t="n"/>
      <c r="J53" s="214" t="inlineStr">
        <is>
          <t>Min Totales</t>
        </is>
      </c>
      <c r="K53" s="144" t="n"/>
      <c r="L53" s="214" t="inlineStr">
        <is>
          <t>Horas</t>
        </is>
      </c>
      <c r="M53" s="144" t="n"/>
      <c r="N53" s="214" t="inlineStr">
        <is>
          <t>% Total</t>
        </is>
      </c>
      <c r="O53" s="144" t="n"/>
      <c r="P53" s="214" t="inlineStr">
        <is>
          <t>% Acumulado</t>
        </is>
      </c>
      <c r="Q53" s="144" t="n"/>
      <c r="R53" s="214" t="inlineStr">
        <is>
          <t>Eventos</t>
        </is>
      </c>
      <c r="S53" s="144" t="n"/>
      <c r="T53" s="214" t="inlineStr">
        <is>
          <t>Equipos Afectados</t>
        </is>
      </c>
      <c r="U53" s="160" t="n"/>
      <c r="V53" s="144" t="n"/>
    </row>
    <row r="54" ht="19" customHeight="1" s="150">
      <c r="A54" s="224" t="n">
        <v>1</v>
      </c>
      <c r="B54" s="219" t="inlineStr">
        <is>
          <t>Reparacion/Falla equipo de Trozado</t>
        </is>
      </c>
      <c r="C54" s="160" t="n"/>
      <c r="D54" s="160" t="n"/>
      <c r="E54" s="160" t="n"/>
      <c r="F54" s="144" t="n"/>
      <c r="G54" s="94" t="n">
        <v>4</v>
      </c>
      <c r="H54" s="220" t="inlineStr">
        <is>
          <t>Mantención</t>
        </is>
      </c>
      <c r="I54" s="144" t="n"/>
      <c r="J54" s="190" t="n">
        <v>2100</v>
      </c>
      <c r="K54" s="144" t="n"/>
      <c r="L54" s="188" t="n">
        <v>35</v>
      </c>
      <c r="M54" s="144" t="n"/>
      <c r="N54" s="216" t="n">
        <v>33.5</v>
      </c>
      <c r="O54" s="144" t="n"/>
      <c r="P54" s="230" t="n">
        <v>33.5</v>
      </c>
      <c r="Q54" s="144" t="n"/>
      <c r="R54" s="189" t="n">
        <v>13</v>
      </c>
      <c r="S54" s="144" t="n"/>
      <c r="T54" s="195" t="inlineStr">
        <is>
          <t>Millalemu 1.1, Millalemu 1.3, Millalemu 1.4, Millalemu 5, Millalemu 9</t>
        </is>
      </c>
      <c r="U54" s="160" t="n"/>
      <c r="V54" s="144" t="n"/>
    </row>
    <row r="55" ht="19" customHeight="1" s="150">
      <c r="A55" s="224" t="n">
        <v>2</v>
      </c>
      <c r="B55" s="219" t="inlineStr">
        <is>
          <t>Reparacion/Falla equipo de volteo</t>
        </is>
      </c>
      <c r="C55" s="160" t="n"/>
      <c r="D55" s="160" t="n"/>
      <c r="E55" s="160" t="n"/>
      <c r="F55" s="144" t="n"/>
      <c r="G55" s="94" t="n">
        <v>1</v>
      </c>
      <c r="H55" s="220" t="inlineStr">
        <is>
          <t>Mantención</t>
        </is>
      </c>
      <c r="I55" s="144" t="n"/>
      <c r="J55" s="190" t="n">
        <v>1050</v>
      </c>
      <c r="K55" s="144" t="n"/>
      <c r="L55" s="188" t="n">
        <v>17.5</v>
      </c>
      <c r="M55" s="144" t="n"/>
      <c r="N55" s="216" t="n">
        <v>16.7</v>
      </c>
      <c r="O55" s="144" t="n"/>
      <c r="P55" s="230" t="n">
        <v>50.2</v>
      </c>
      <c r="Q55" s="144" t="n"/>
      <c r="R55" s="189" t="n">
        <v>7</v>
      </c>
      <c r="S55" s="144" t="n"/>
      <c r="T55" s="195" t="inlineStr">
        <is>
          <t>Millalemu 1.1, Millalemu 1.2, Millalemu 1.4</t>
        </is>
      </c>
      <c r="U55" s="160" t="n"/>
      <c r="V55" s="144" t="n"/>
    </row>
    <row r="56" ht="19" customHeight="1" s="150">
      <c r="A56" s="229" t="n">
        <v>3</v>
      </c>
      <c r="B56" s="219" t="inlineStr">
        <is>
          <t>Falta de volteo o desrame</t>
        </is>
      </c>
      <c r="C56" s="160" t="n"/>
      <c r="D56" s="160" t="n"/>
      <c r="E56" s="160" t="n"/>
      <c r="F56" s="144" t="n"/>
      <c r="G56" s="94" t="n">
        <v>18</v>
      </c>
      <c r="H56" s="221" t="inlineStr">
        <is>
          <t>Operacional</t>
        </is>
      </c>
      <c r="I56" s="144" t="n"/>
      <c r="J56" s="190" t="n">
        <v>900</v>
      </c>
      <c r="K56" s="144" t="n"/>
      <c r="L56" s="188" t="n">
        <v>15</v>
      </c>
      <c r="M56" s="144" t="n"/>
      <c r="N56" s="208" t="n">
        <v>14.4</v>
      </c>
      <c r="O56" s="144" t="n"/>
      <c r="P56" s="230" t="n">
        <v>64.59999999999999</v>
      </c>
      <c r="Q56" s="144" t="n"/>
      <c r="R56" s="189" t="n">
        <v>4</v>
      </c>
      <c r="S56" s="144" t="n"/>
      <c r="T56" s="195" t="inlineStr">
        <is>
          <t>Millalemu 1.2, Millalemu 1.4</t>
        </is>
      </c>
      <c r="U56" s="160" t="n"/>
      <c r="V56" s="144" t="n"/>
    </row>
    <row r="57" ht="19" customHeight="1" s="150">
      <c r="A57" s="224" t="n">
        <v>4</v>
      </c>
      <c r="B57" s="219" t="inlineStr">
        <is>
          <t>Reparacion/Falla de equipo de madereo</t>
        </is>
      </c>
      <c r="C57" s="160" t="n"/>
      <c r="D57" s="160" t="n"/>
      <c r="E57" s="160" t="n"/>
      <c r="F57" s="144" t="n"/>
      <c r="G57" s="94" t="n">
        <v>2</v>
      </c>
      <c r="H57" s="220" t="inlineStr">
        <is>
          <t>Mantención</t>
        </is>
      </c>
      <c r="I57" s="144" t="n"/>
      <c r="J57" s="190" t="n">
        <v>480</v>
      </c>
      <c r="K57" s="144" t="n"/>
      <c r="L57" s="188" t="n">
        <v>8</v>
      </c>
      <c r="M57" s="144" t="n"/>
      <c r="N57" s="216" t="n">
        <v>7.7</v>
      </c>
      <c r="O57" s="144" t="n"/>
      <c r="P57" s="230" t="n">
        <v>72.2</v>
      </c>
      <c r="Q57" s="144" t="n"/>
      <c r="R57" s="189" t="n">
        <v>2</v>
      </c>
      <c r="S57" s="144" t="n"/>
      <c r="T57" s="195" t="inlineStr">
        <is>
          <t>Millalemu 1.2, Millalemu 1.4</t>
        </is>
      </c>
      <c r="U57" s="160" t="n"/>
      <c r="V57" s="144" t="n"/>
    </row>
    <row r="58" ht="19" customHeight="1" s="150">
      <c r="A58" s="229" t="n">
        <v>5</v>
      </c>
      <c r="B58" s="219" t="inlineStr">
        <is>
          <t>Traslados otro predio</t>
        </is>
      </c>
      <c r="C58" s="160" t="n"/>
      <c r="D58" s="160" t="n"/>
      <c r="E58" s="160" t="n"/>
      <c r="F58" s="144" t="n"/>
      <c r="G58" s="94" t="n">
        <v>14</v>
      </c>
      <c r="H58" s="221" t="inlineStr">
        <is>
          <t>Operacional</t>
        </is>
      </c>
      <c r="I58" s="144" t="n"/>
      <c r="J58" s="190" t="n">
        <v>420</v>
      </c>
      <c r="K58" s="144" t="n"/>
      <c r="L58" s="188" t="n">
        <v>7</v>
      </c>
      <c r="M58" s="144" t="n"/>
      <c r="N58" s="208" t="n">
        <v>6.7</v>
      </c>
      <c r="O58" s="144" t="n"/>
      <c r="P58" s="230" t="n">
        <v>78.90000000000001</v>
      </c>
      <c r="Q58" s="144" t="n"/>
      <c r="R58" s="189" t="n">
        <v>1</v>
      </c>
      <c r="S58" s="144" t="n"/>
      <c r="T58" s="195" t="inlineStr">
        <is>
          <t>Millalemu 7</t>
        </is>
      </c>
      <c r="U58" s="160" t="n"/>
      <c r="V58" s="144" t="n"/>
    </row>
    <row r="59" ht="19" customHeight="1" s="150">
      <c r="A59" s="229" t="n">
        <v>6</v>
      </c>
      <c r="B59" s="219" t="inlineStr">
        <is>
          <t>Traslados dentro del predio (cancha, sector)</t>
        </is>
      </c>
      <c r="C59" s="160" t="n"/>
      <c r="D59" s="160" t="n"/>
      <c r="E59" s="160" t="n"/>
      <c r="F59" s="144" t="n"/>
      <c r="G59" s="94" t="n">
        <v>13</v>
      </c>
      <c r="H59" s="221" t="inlineStr">
        <is>
          <t>Operacional</t>
        </is>
      </c>
      <c r="I59" s="144" t="n"/>
      <c r="J59" s="190" t="n">
        <v>330</v>
      </c>
      <c r="K59" s="144" t="n"/>
      <c r="L59" s="188" t="n">
        <v>5.5</v>
      </c>
      <c r="M59" s="144" t="n"/>
      <c r="N59" s="208" t="n">
        <v>5.3</v>
      </c>
      <c r="O59" s="144" t="n"/>
      <c r="P59" s="215" t="n">
        <v>84.2</v>
      </c>
      <c r="Q59" s="144" t="n"/>
      <c r="R59" s="189" t="n">
        <v>3</v>
      </c>
      <c r="S59" s="144" t="n"/>
      <c r="T59" s="195" t="inlineStr">
        <is>
          <t>Millalemu 1.4, Millalemu 7, Millalemu 9</t>
        </is>
      </c>
      <c r="U59" s="160" t="n"/>
      <c r="V59" s="144" t="n"/>
    </row>
    <row r="60" ht="19" customHeight="1" s="150">
      <c r="A60" s="229" t="n">
        <v>7</v>
      </c>
      <c r="B60" s="219" t="inlineStr">
        <is>
          <t>Falta autorizaciones FASA</t>
        </is>
      </c>
      <c r="C60" s="160" t="n"/>
      <c r="D60" s="160" t="n"/>
      <c r="E60" s="160" t="n"/>
      <c r="F60" s="144" t="n"/>
      <c r="G60" s="94" t="n">
        <v>38</v>
      </c>
      <c r="H60" s="221" t="inlineStr">
        <is>
          <t>Operacional</t>
        </is>
      </c>
      <c r="I60" s="144" t="n"/>
      <c r="J60" s="190" t="n">
        <v>300</v>
      </c>
      <c r="K60" s="144" t="n"/>
      <c r="L60" s="188" t="n">
        <v>5</v>
      </c>
      <c r="M60" s="144" t="n"/>
      <c r="N60" s="208" t="n">
        <v>4.8</v>
      </c>
      <c r="O60" s="144" t="n"/>
      <c r="P60" s="215" t="n">
        <v>89</v>
      </c>
      <c r="Q60" s="144" t="n"/>
      <c r="R60" s="189" t="n">
        <v>1</v>
      </c>
      <c r="S60" s="144" t="n"/>
      <c r="T60" s="195" t="inlineStr">
        <is>
          <t>Millalemu 1.2</t>
        </is>
      </c>
      <c r="U60" s="160" t="n"/>
      <c r="V60" s="144" t="n"/>
    </row>
    <row r="61" ht="19" customHeight="1" s="150">
      <c r="A61" s="224" t="n">
        <v>8</v>
      </c>
      <c r="B61" s="219" t="inlineStr">
        <is>
          <t>Reparacion/Falla de equipo de clasificado/carguio</t>
        </is>
      </c>
      <c r="C61" s="160" t="n"/>
      <c r="D61" s="160" t="n"/>
      <c r="E61" s="160" t="n"/>
      <c r="F61" s="144" t="n"/>
      <c r="G61" s="94" t="n">
        <v>5</v>
      </c>
      <c r="H61" s="220" t="inlineStr">
        <is>
          <t>Mantención</t>
        </is>
      </c>
      <c r="I61" s="144" t="n"/>
      <c r="J61" s="190" t="n">
        <v>210</v>
      </c>
      <c r="K61" s="144" t="n"/>
      <c r="L61" s="188" t="n">
        <v>3.5</v>
      </c>
      <c r="M61" s="144" t="n"/>
      <c r="N61" s="216" t="n">
        <v>3.3</v>
      </c>
      <c r="O61" s="144" t="n"/>
      <c r="P61" s="215" t="n">
        <v>92.3</v>
      </c>
      <c r="Q61" s="144" t="n"/>
      <c r="R61" s="189" t="n">
        <v>2</v>
      </c>
      <c r="S61" s="144" t="n"/>
      <c r="T61" s="195" t="inlineStr">
        <is>
          <t>Millalemu 1.1, Millalemu 11</t>
        </is>
      </c>
      <c r="U61" s="160" t="n"/>
      <c r="V61" s="144" t="n"/>
    </row>
    <row r="62" ht="19" customHeight="1" s="150">
      <c r="A62" s="96" t="n">
        <v>9</v>
      </c>
      <c r="B62" s="219" t="inlineStr">
        <is>
          <t>Descanso/Pausa programada</t>
        </is>
      </c>
      <c r="C62" s="160" t="n"/>
      <c r="D62" s="160" t="n"/>
      <c r="E62" s="160" t="n"/>
      <c r="F62" s="144" t="n"/>
      <c r="G62" s="94" t="n">
        <v>42</v>
      </c>
      <c r="H62" s="197" t="inlineStr">
        <is>
          <t>Proceso</t>
        </is>
      </c>
      <c r="I62" s="144" t="n"/>
      <c r="J62" s="190" t="n">
        <v>180</v>
      </c>
      <c r="K62" s="144" t="n"/>
      <c r="L62" s="188" t="n">
        <v>3</v>
      </c>
      <c r="M62" s="144" t="n"/>
      <c r="N62" s="236" t="n">
        <v>2.9</v>
      </c>
      <c r="O62" s="144" t="n"/>
      <c r="P62" s="215" t="n">
        <v>95.2</v>
      </c>
      <c r="Q62" s="144" t="n"/>
      <c r="R62" s="189" t="n">
        <v>6</v>
      </c>
      <c r="S62" s="144" t="n"/>
      <c r="T62" s="195" t="inlineStr">
        <is>
          <t>Millalemu 1.1, Millalemu 5, Millalemu 7</t>
        </is>
      </c>
      <c r="U62" s="160" t="n"/>
      <c r="V62" s="144" t="n"/>
    </row>
    <row r="63" ht="19" customHeight="1" s="150">
      <c r="A63" s="229" t="n">
        <v>10</v>
      </c>
      <c r="B63" s="219" t="inlineStr">
        <is>
          <t>Sobre Shoveleo</t>
        </is>
      </c>
      <c r="C63" s="160" t="n"/>
      <c r="D63" s="160" t="n"/>
      <c r="E63" s="160" t="n"/>
      <c r="F63" s="144" t="n"/>
      <c r="G63" s="94" t="n">
        <v>68</v>
      </c>
      <c r="H63" s="221" t="inlineStr">
        <is>
          <t>Operacional</t>
        </is>
      </c>
      <c r="I63" s="144" t="n"/>
      <c r="J63" s="190" t="n">
        <v>180</v>
      </c>
      <c r="K63" s="144" t="n"/>
      <c r="L63" s="188" t="n">
        <v>3</v>
      </c>
      <c r="M63" s="144" t="n"/>
      <c r="N63" s="208" t="n">
        <v>2.9</v>
      </c>
      <c r="O63" s="144" t="n"/>
      <c r="P63" s="215" t="n">
        <v>98.09999999999999</v>
      </c>
      <c r="Q63" s="144" t="n"/>
      <c r="R63" s="189" t="n">
        <v>1</v>
      </c>
      <c r="S63" s="144" t="n"/>
      <c r="T63" s="195" t="inlineStr">
        <is>
          <t>Millalemu 11</t>
        </is>
      </c>
      <c r="U63" s="160" t="n"/>
      <c r="V63" s="144" t="n"/>
    </row>
    <row r="65">
      <c r="A65" s="234" t="inlineStr">
        <is>
          <t>RANKING DE EQUIPOS POR IMPACTO DE TIEMPOS MUERTOS</t>
        </is>
      </c>
      <c r="B65" s="160" t="n"/>
      <c r="C65" s="160" t="n"/>
      <c r="D65" s="160" t="n"/>
      <c r="E65" s="160" t="n"/>
      <c r="F65" s="160" t="n"/>
      <c r="G65" s="160" t="n"/>
      <c r="H65" s="160" t="n"/>
      <c r="I65" s="160" t="n"/>
      <c r="J65" s="160" t="n"/>
      <c r="K65" s="160" t="n"/>
      <c r="L65" s="160" t="n"/>
      <c r="M65" s="160" t="n"/>
      <c r="N65" s="160" t="n"/>
      <c r="O65" s="160" t="n"/>
      <c r="P65" s="160" t="n"/>
      <c r="Q65" s="160" t="n"/>
      <c r="R65" s="160" t="n"/>
      <c r="S65" s="160" t="n"/>
      <c r="T65" s="160" t="n"/>
      <c r="U65" s="160" t="n"/>
      <c r="V65" s="144" t="n"/>
    </row>
    <row r="66" ht="22" customHeight="1" s="150">
      <c r="A66" s="205" t="inlineStr">
        <is>
          <t>#</t>
        </is>
      </c>
      <c r="B66" s="144" t="n"/>
      <c r="C66" s="205" t="inlineStr">
        <is>
          <t>Equipo</t>
        </is>
      </c>
      <c r="D66" s="160" t="n"/>
      <c r="E66" s="144" t="n"/>
      <c r="F66" s="205" t="inlineStr">
        <is>
          <t>TM Total (min)</t>
        </is>
      </c>
      <c r="G66" s="144" t="n"/>
      <c r="H66" s="205" t="inlineStr">
        <is>
          <t>TM Total (hrs)</t>
        </is>
      </c>
      <c r="I66" s="144" t="n"/>
      <c r="J66" s="205" t="inlineStr">
        <is>
          <t>TM Mant (min)</t>
        </is>
      </c>
      <c r="K66" s="144" t="n"/>
      <c r="L66" s="205" t="inlineStr">
        <is>
          <t>TM Oper (min)</t>
        </is>
      </c>
      <c r="M66" s="144" t="n"/>
      <c r="N66" s="205" t="inlineStr">
        <is>
          <t>TM Proc (min)</t>
        </is>
      </c>
      <c r="O66" s="144" t="n"/>
      <c r="P66" s="205" t="inlineStr">
        <is>
          <t>% del Total</t>
        </is>
      </c>
      <c r="Q66" s="144" t="n"/>
      <c r="R66" s="205" t="inlineStr">
        <is>
          <t>Eventos</t>
        </is>
      </c>
      <c r="S66" s="144" t="n"/>
      <c r="T66" s="205" t="inlineStr">
        <is>
          <t>Causa Principal</t>
        </is>
      </c>
      <c r="U66" s="160" t="n"/>
      <c r="V66" s="144" t="n"/>
    </row>
    <row r="67">
      <c r="A67" s="224" t="n">
        <v>1</v>
      </c>
      <c r="B67" s="144" t="n"/>
      <c r="C67" s="224" t="inlineStr">
        <is>
          <t>Millalemu 1.2</t>
        </is>
      </c>
      <c r="D67" s="160" t="n"/>
      <c r="E67" s="144" t="n"/>
      <c r="F67" s="213" t="n">
        <v>1560</v>
      </c>
      <c r="G67" s="144" t="n"/>
      <c r="H67" s="235" t="n">
        <v>26</v>
      </c>
      <c r="I67" s="144" t="n"/>
      <c r="J67" s="200" t="n">
        <v>720</v>
      </c>
      <c r="K67" s="144" t="n"/>
      <c r="L67" s="192" t="n">
        <v>840</v>
      </c>
      <c r="M67" s="144" t="n"/>
      <c r="N67" s="199" t="n">
        <v>0</v>
      </c>
      <c r="O67" s="144" t="n"/>
      <c r="P67" s="191" t="n">
        <v>24.9</v>
      </c>
      <c r="Q67" s="144" t="n"/>
      <c r="R67" s="189" t="n">
        <v>5</v>
      </c>
      <c r="S67" s="144" t="n"/>
      <c r="T67" s="195" t="inlineStr">
        <is>
          <t>Falta de volteo o desrame</t>
        </is>
      </c>
      <c r="U67" s="160" t="n"/>
      <c r="V67" s="144" t="n"/>
    </row>
    <row r="68">
      <c r="A68" s="229" t="n">
        <v>2</v>
      </c>
      <c r="B68" s="144" t="n"/>
      <c r="C68" s="229" t="inlineStr">
        <is>
          <t>Millalemu 1.3</t>
        </is>
      </c>
      <c r="D68" s="160" t="n"/>
      <c r="E68" s="144" t="n"/>
      <c r="F68" s="237" t="n">
        <v>1440</v>
      </c>
      <c r="G68" s="144" t="n"/>
      <c r="H68" s="243" t="n">
        <v>24</v>
      </c>
      <c r="I68" s="144" t="n"/>
      <c r="J68" s="200" t="n">
        <v>1440</v>
      </c>
      <c r="K68" s="144" t="n"/>
      <c r="L68" s="192" t="n">
        <v>0</v>
      </c>
      <c r="M68" s="144" t="n"/>
      <c r="N68" s="199" t="n">
        <v>0</v>
      </c>
      <c r="O68" s="144" t="n"/>
      <c r="P68" s="191" t="n">
        <v>23</v>
      </c>
      <c r="Q68" s="144" t="n"/>
      <c r="R68" s="189" t="n">
        <v>5</v>
      </c>
      <c r="S68" s="144" t="n"/>
      <c r="T68" s="195" t="inlineStr">
        <is>
          <t>Reparacion/Falla equipo de Trozado</t>
        </is>
      </c>
      <c r="U68" s="160" t="n"/>
      <c r="V68" s="144" t="n"/>
    </row>
    <row r="69">
      <c r="A69" s="225" t="n">
        <v>3</v>
      </c>
      <c r="B69" s="144" t="n"/>
      <c r="C69" s="225" t="inlineStr">
        <is>
          <t>Millalemu 1.4</t>
        </is>
      </c>
      <c r="D69" s="160" t="n"/>
      <c r="E69" s="144" t="n"/>
      <c r="F69" s="210" t="n">
        <v>930</v>
      </c>
      <c r="G69" s="144" t="n"/>
      <c r="H69" s="246" t="n">
        <v>15.5</v>
      </c>
      <c r="I69" s="144" t="n"/>
      <c r="J69" s="200" t="n">
        <v>540</v>
      </c>
      <c r="K69" s="144" t="n"/>
      <c r="L69" s="192" t="n">
        <v>390</v>
      </c>
      <c r="M69" s="144" t="n"/>
      <c r="N69" s="199" t="n">
        <v>0</v>
      </c>
      <c r="O69" s="144" t="n"/>
      <c r="P69" s="191" t="n">
        <v>14.8</v>
      </c>
      <c r="Q69" s="144" t="n"/>
      <c r="R69" s="189" t="n">
        <v>10</v>
      </c>
      <c r="S69" s="144" t="n"/>
      <c r="T69" s="195" t="inlineStr">
        <is>
          <t>Falta de volteo o desrame</t>
        </is>
      </c>
      <c r="U69" s="160" t="n"/>
      <c r="V69" s="144" t="n"/>
    </row>
    <row r="70">
      <c r="A70" s="196" t="n">
        <v>4</v>
      </c>
      <c r="B70" s="144" t="n"/>
      <c r="C70" s="196" t="inlineStr">
        <is>
          <t>Millalemu 7</t>
        </is>
      </c>
      <c r="D70" s="160" t="n"/>
      <c r="E70" s="144" t="n"/>
      <c r="F70" s="190" t="n">
        <v>780</v>
      </c>
      <c r="G70" s="144" t="n"/>
      <c r="H70" s="217" t="n">
        <v>13</v>
      </c>
      <c r="I70" s="144" t="n"/>
      <c r="J70" s="200" t="n">
        <v>0</v>
      </c>
      <c r="K70" s="144" t="n"/>
      <c r="L70" s="192" t="n">
        <v>660</v>
      </c>
      <c r="M70" s="144" t="n"/>
      <c r="N70" s="199" t="n">
        <v>120</v>
      </c>
      <c r="O70" s="144" t="n"/>
      <c r="P70" s="191" t="n">
        <v>12.4</v>
      </c>
      <c r="Q70" s="144" t="n"/>
      <c r="R70" s="189" t="n">
        <v>6</v>
      </c>
      <c r="S70" s="144" t="n"/>
      <c r="T70" s="195" t="inlineStr">
        <is>
          <t>Traslados otro predio</t>
        </is>
      </c>
      <c r="U70" s="160" t="n"/>
      <c r="V70" s="144" t="n"/>
    </row>
    <row r="71">
      <c r="A71" s="196" t="n">
        <v>5</v>
      </c>
      <c r="B71" s="144" t="n"/>
      <c r="C71" s="196" t="inlineStr">
        <is>
          <t>Millalemu 1.1</t>
        </is>
      </c>
      <c r="D71" s="160" t="n"/>
      <c r="E71" s="144" t="n"/>
      <c r="F71" s="190" t="n">
        <v>750</v>
      </c>
      <c r="G71" s="144" t="n"/>
      <c r="H71" s="217" t="n">
        <v>12.5</v>
      </c>
      <c r="I71" s="144" t="n"/>
      <c r="J71" s="200" t="n">
        <v>660</v>
      </c>
      <c r="K71" s="144" t="n"/>
      <c r="L71" s="192" t="n">
        <v>0</v>
      </c>
      <c r="M71" s="144" t="n"/>
      <c r="N71" s="199" t="n">
        <v>90</v>
      </c>
      <c r="O71" s="144" t="n"/>
      <c r="P71" s="191" t="n">
        <v>12</v>
      </c>
      <c r="Q71" s="144" t="n"/>
      <c r="R71" s="189" t="n">
        <v>8</v>
      </c>
      <c r="S71" s="144" t="n"/>
      <c r="T71" s="195" t="inlineStr">
        <is>
          <t>Reparacion/Falla equipo de volteo</t>
        </is>
      </c>
      <c r="U71" s="160" t="n"/>
      <c r="V71" s="144" t="n"/>
    </row>
    <row r="72">
      <c r="A72" s="196" t="n">
        <v>6</v>
      </c>
      <c r="B72" s="144" t="n"/>
      <c r="C72" s="196" t="inlineStr">
        <is>
          <t>Millalemu 11</t>
        </is>
      </c>
      <c r="D72" s="160" t="n"/>
      <c r="E72" s="144" t="n"/>
      <c r="F72" s="190" t="n">
        <v>300</v>
      </c>
      <c r="G72" s="144" t="n"/>
      <c r="H72" s="217" t="n">
        <v>5</v>
      </c>
      <c r="I72" s="144" t="n"/>
      <c r="J72" s="200" t="n">
        <v>120</v>
      </c>
      <c r="K72" s="144" t="n"/>
      <c r="L72" s="192" t="n">
        <v>180</v>
      </c>
      <c r="M72" s="144" t="n"/>
      <c r="N72" s="199" t="n">
        <v>0</v>
      </c>
      <c r="O72" s="144" t="n"/>
      <c r="P72" s="191" t="n">
        <v>4.8</v>
      </c>
      <c r="Q72" s="144" t="n"/>
      <c r="R72" s="189" t="n">
        <v>2</v>
      </c>
      <c r="S72" s="144" t="n"/>
      <c r="T72" s="195" t="inlineStr">
        <is>
          <t>Sobre Shoveleo</t>
        </is>
      </c>
      <c r="U72" s="160" t="n"/>
      <c r="V72" s="144" t="n"/>
    </row>
    <row r="73">
      <c r="A73" s="196" t="n">
        <v>7</v>
      </c>
      <c r="B73" s="144" t="n"/>
      <c r="C73" s="196" t="inlineStr">
        <is>
          <t>Millalemu 5</t>
        </is>
      </c>
      <c r="D73" s="160" t="n"/>
      <c r="E73" s="144" t="n"/>
      <c r="F73" s="190" t="n">
        <v>270</v>
      </c>
      <c r="G73" s="144" t="n"/>
      <c r="H73" s="217" t="n">
        <v>4.5</v>
      </c>
      <c r="I73" s="144" t="n"/>
      <c r="J73" s="200" t="n">
        <v>240</v>
      </c>
      <c r="K73" s="144" t="n"/>
      <c r="L73" s="192" t="n">
        <v>0</v>
      </c>
      <c r="M73" s="144" t="n"/>
      <c r="N73" s="199" t="n">
        <v>30</v>
      </c>
      <c r="O73" s="144" t="n"/>
      <c r="P73" s="191" t="n">
        <v>4.3</v>
      </c>
      <c r="Q73" s="144" t="n"/>
      <c r="R73" s="189" t="n">
        <v>4</v>
      </c>
      <c r="S73" s="144" t="n"/>
      <c r="T73" s="195" t="inlineStr">
        <is>
          <t>Reparacion/Falla equipo de Trozado</t>
        </is>
      </c>
      <c r="U73" s="160" t="n"/>
      <c r="V73" s="144" t="n"/>
    </row>
    <row r="74">
      <c r="A74" s="196" t="n">
        <v>8</v>
      </c>
      <c r="B74" s="144" t="n"/>
      <c r="C74" s="196" t="inlineStr">
        <is>
          <t>Millalemu 9</t>
        </is>
      </c>
      <c r="D74" s="160" t="n"/>
      <c r="E74" s="144" t="n"/>
      <c r="F74" s="190" t="n">
        <v>240</v>
      </c>
      <c r="G74" s="144" t="n"/>
      <c r="H74" s="217" t="n">
        <v>4</v>
      </c>
      <c r="I74" s="144" t="n"/>
      <c r="J74" s="200" t="n">
        <v>180</v>
      </c>
      <c r="K74" s="144" t="n"/>
      <c r="L74" s="192" t="n">
        <v>60</v>
      </c>
      <c r="M74" s="144" t="n"/>
      <c r="N74" s="199" t="n">
        <v>0</v>
      </c>
      <c r="O74" s="144" t="n"/>
      <c r="P74" s="191" t="n">
        <v>3.8</v>
      </c>
      <c r="Q74" s="144" t="n"/>
      <c r="R74" s="189" t="n">
        <v>3</v>
      </c>
      <c r="S74" s="144" t="n"/>
      <c r="T74" s="195" t="inlineStr">
        <is>
          <t>Reparacion/Falla equipo de Trozado</t>
        </is>
      </c>
      <c r="U74" s="160" t="n"/>
      <c r="V74" s="144" t="n"/>
    </row>
    <row r="77">
      <c r="A77" s="212" t="inlineStr">
        <is>
          <t>TENDENCIA DIARIA POR CLASIFICACIÓN (MINUTOS)</t>
        </is>
      </c>
      <c r="B77" s="160" t="n"/>
      <c r="C77" s="160" t="n"/>
      <c r="D77" s="160" t="n"/>
      <c r="E77" s="160" t="n"/>
      <c r="F77" s="160" t="n"/>
      <c r="G77" s="160" t="n"/>
      <c r="H77" s="160" t="n"/>
      <c r="I77" s="160" t="n"/>
      <c r="J77" s="160" t="n"/>
      <c r="K77" s="160" t="n"/>
      <c r="L77" s="160" t="n"/>
      <c r="M77" s="160" t="n"/>
      <c r="N77" s="160" t="n"/>
      <c r="O77" s="160" t="n"/>
      <c r="P77" s="160" t="n"/>
      <c r="Q77" s="160" t="n"/>
      <c r="R77" s="160" t="n"/>
      <c r="S77" s="160" t="n"/>
      <c r="T77" s="160" t="n"/>
      <c r="U77" s="160" t="n"/>
      <c r="V77" s="144" t="n"/>
    </row>
    <row r="78">
      <c r="A78" s="167" t="inlineStr">
        <is>
          <t>Día</t>
        </is>
      </c>
      <c r="B78" s="167" t="inlineStr">
        <is>
          <t>Sem</t>
        </is>
      </c>
      <c r="C78" s="167" t="inlineStr">
        <is>
          <t>Mantención</t>
        </is>
      </c>
      <c r="D78" s="160" t="n"/>
      <c r="E78" s="144" t="n"/>
      <c r="F78" s="167" t="inlineStr">
        <is>
          <t>Operacional</t>
        </is>
      </c>
      <c r="G78" s="160" t="n"/>
      <c r="H78" s="144" t="n"/>
      <c r="I78" s="167" t="inlineStr">
        <is>
          <t>Proceso</t>
        </is>
      </c>
      <c r="J78" s="160" t="n"/>
      <c r="K78" s="144" t="n"/>
      <c r="L78" s="167" t="inlineStr">
        <is>
          <t>TOTAL</t>
        </is>
      </c>
      <c r="M78" s="160" t="n"/>
      <c r="N78" s="144" t="n"/>
      <c r="O78" s="167" t="inlineStr">
        <is>
          <t>% Mantención</t>
        </is>
      </c>
      <c r="P78" s="160" t="n"/>
      <c r="Q78" s="144" t="n"/>
      <c r="R78" s="167" t="inlineStr">
        <is>
          <t>Acumulado TM</t>
        </is>
      </c>
      <c r="S78" s="160" t="n"/>
      <c r="T78" s="144" t="n"/>
      <c r="U78" s="167" t="inlineStr">
        <is>
          <t>Estado</t>
        </is>
      </c>
      <c r="V78" s="144" t="n"/>
    </row>
    <row r="79">
      <c r="A79" s="196">
        <f>IF(1&gt;DATA_CONFIG!$B$4,"",1)</f>
        <v/>
      </c>
      <c r="B79" s="94">
        <f>IF(A79="","",TEXT(DATE(DATA_CONFIG!$B$3,DATA_CONFIG!$B$2,A79),"ddd"))</f>
        <v/>
      </c>
      <c r="C79" s="200">
        <f>IF($A79="","",SUMIFS(DATA_TM!$F$2:$F$500,DATA_TM!$A$2:$A$500,$A79,DATA_TM!$E$2:$E$500,"Mantención"))</f>
        <v/>
      </c>
      <c r="D79" s="160" t="n"/>
      <c r="E79" s="144" t="n"/>
      <c r="F79" s="192">
        <f>IF($A79="","",SUMIFS(DATA_TM!$F$2:$F$500,DATA_TM!$A$2:$A$500,$A79,DATA_TM!$E$2:$E$500,"Operacional"))</f>
        <v/>
      </c>
      <c r="G79" s="160" t="n"/>
      <c r="H79" s="144" t="n"/>
      <c r="I79" s="199">
        <f>IF($A79="","",SUMIFS(DATA_TM!$F$2:$F$500,DATA_TM!$A$2:$A$500,$A79,DATA_TM!$E$2:$E$500,"Proceso"))</f>
        <v/>
      </c>
      <c r="J79" s="160" t="n"/>
      <c r="K79" s="144" t="n"/>
      <c r="L79" s="194">
        <f>IF($A79="","",C79+F79+I79)</f>
        <v/>
      </c>
      <c r="M79" s="160" t="n"/>
      <c r="N79" s="144" t="n"/>
      <c r="O79" s="191">
        <f>IF(L79="","",IFERROR(C79/L79*100,0))</f>
        <v/>
      </c>
      <c r="P79" s="160" t="n"/>
      <c r="Q79" s="144" t="n"/>
      <c r="R79" s="198">
        <f>IF($A79="","",L79)</f>
        <v/>
      </c>
      <c r="S79" s="160" t="n"/>
      <c r="T79" s="144" t="n"/>
      <c r="U79" s="196">
        <f>IF($A79="","",IF(L79=0,"OK",IF(C79=0,IF(L79&lt;=120,"LEVE","ATENCIÓN"),IF(C79&lt;=120,"LEVE",IF(C79&lt;=300,"ATENCIÓN","CRÍTICO")))))</f>
        <v/>
      </c>
      <c r="V79" s="144" t="n"/>
    </row>
    <row r="80">
      <c r="A80" s="196">
        <f>IF(2&gt;DATA_CONFIG!$B$4,"",2)</f>
        <v/>
      </c>
      <c r="B80" s="94">
        <f>IF(A80="","",TEXT(DATE(DATA_CONFIG!$B$3,DATA_CONFIG!$B$2,A80),"ddd"))</f>
        <v/>
      </c>
      <c r="C80" s="200">
        <f>IF($A80="","",SUMIFS(DATA_TM!$F$2:$F$500,DATA_TM!$A$2:$A$500,$A80,DATA_TM!$E$2:$E$500,"Mantención"))</f>
        <v/>
      </c>
      <c r="D80" s="160" t="n"/>
      <c r="E80" s="144" t="n"/>
      <c r="F80" s="192">
        <f>IF($A80="","",SUMIFS(DATA_TM!$F$2:$F$500,DATA_TM!$A$2:$A$500,$A80,DATA_TM!$E$2:$E$500,"Operacional"))</f>
        <v/>
      </c>
      <c r="G80" s="160" t="n"/>
      <c r="H80" s="144" t="n"/>
      <c r="I80" s="199">
        <f>IF($A80="","",SUMIFS(DATA_TM!$F$2:$F$500,DATA_TM!$A$2:$A$500,$A80,DATA_TM!$E$2:$E$500,"Proceso"))</f>
        <v/>
      </c>
      <c r="J80" s="160" t="n"/>
      <c r="K80" s="144" t="n"/>
      <c r="L80" s="194">
        <f>IF($A80="","",C80+F80+I80)</f>
        <v/>
      </c>
      <c r="M80" s="160" t="n"/>
      <c r="N80" s="144" t="n"/>
      <c r="O80" s="191">
        <f>IF(L80="","",IFERROR(C80/L80*100,0))</f>
        <v/>
      </c>
      <c r="P80" s="160" t="n"/>
      <c r="Q80" s="144" t="n"/>
      <c r="R80" s="198">
        <f>IF($A80="","",IF(R79="",L80,R79+L80))</f>
        <v/>
      </c>
      <c r="S80" s="160" t="n"/>
      <c r="T80" s="144" t="n"/>
      <c r="U80" s="196">
        <f>IF($A80="","",IF(L80=0,"OK",IF(C80=0,IF(L80&lt;=120,"LEVE","ATENCIÓN"),IF(C80&lt;=120,"LEVE",IF(C80&lt;=300,"ATENCIÓN","CRÍTICO")))))</f>
        <v/>
      </c>
      <c r="V80" s="144" t="n"/>
    </row>
    <row r="81">
      <c r="A81" s="196">
        <f>IF(3&gt;DATA_CONFIG!$B$4,"",3)</f>
        <v/>
      </c>
      <c r="B81" s="94">
        <f>IF(A81="","",TEXT(DATE(DATA_CONFIG!$B$3,DATA_CONFIG!$B$2,A81),"ddd"))</f>
        <v/>
      </c>
      <c r="C81" s="200">
        <f>IF($A81="","",SUMIFS(DATA_TM!$F$2:$F$500,DATA_TM!$A$2:$A$500,$A81,DATA_TM!$E$2:$E$500,"Mantención"))</f>
        <v/>
      </c>
      <c r="D81" s="160" t="n"/>
      <c r="E81" s="144" t="n"/>
      <c r="F81" s="192">
        <f>IF($A81="","",SUMIFS(DATA_TM!$F$2:$F$500,DATA_TM!$A$2:$A$500,$A81,DATA_TM!$E$2:$E$500,"Operacional"))</f>
        <v/>
      </c>
      <c r="G81" s="160" t="n"/>
      <c r="H81" s="144" t="n"/>
      <c r="I81" s="199">
        <f>IF($A81="","",SUMIFS(DATA_TM!$F$2:$F$500,DATA_TM!$A$2:$A$500,$A81,DATA_TM!$E$2:$E$500,"Proceso"))</f>
        <v/>
      </c>
      <c r="J81" s="160" t="n"/>
      <c r="K81" s="144" t="n"/>
      <c r="L81" s="194">
        <f>IF($A81="","",C81+F81+I81)</f>
        <v/>
      </c>
      <c r="M81" s="160" t="n"/>
      <c r="N81" s="144" t="n"/>
      <c r="O81" s="191">
        <f>IF(L81="","",IFERROR(C81/L81*100,0))</f>
        <v/>
      </c>
      <c r="P81" s="160" t="n"/>
      <c r="Q81" s="144" t="n"/>
      <c r="R81" s="198">
        <f>IF($A81="","",IF(R80="",L81,R80+L81))</f>
        <v/>
      </c>
      <c r="S81" s="160" t="n"/>
      <c r="T81" s="144" t="n"/>
      <c r="U81" s="196">
        <f>IF($A81="","",IF(L81=0,"OK",IF(C81=0,IF(L81&lt;=120,"LEVE","ATENCIÓN"),IF(C81&lt;=120,"LEVE",IF(C81&lt;=300,"ATENCIÓN","CRÍTICO")))))</f>
        <v/>
      </c>
      <c r="V81" s="144" t="n"/>
    </row>
    <row r="82">
      <c r="A82" s="196">
        <f>IF(4&gt;DATA_CONFIG!$B$4,"",4)</f>
        <v/>
      </c>
      <c r="B82" s="94">
        <f>IF(A82="","",TEXT(DATE(DATA_CONFIG!$B$3,DATA_CONFIG!$B$2,A82),"ddd"))</f>
        <v/>
      </c>
      <c r="C82" s="200">
        <f>IF($A82="","",SUMIFS(DATA_TM!$F$2:$F$500,DATA_TM!$A$2:$A$500,$A82,DATA_TM!$E$2:$E$500,"Mantención"))</f>
        <v/>
      </c>
      <c r="D82" s="160" t="n"/>
      <c r="E82" s="144" t="n"/>
      <c r="F82" s="192">
        <f>IF($A82="","",SUMIFS(DATA_TM!$F$2:$F$500,DATA_TM!$A$2:$A$500,$A82,DATA_TM!$E$2:$E$500,"Operacional"))</f>
        <v/>
      </c>
      <c r="G82" s="160" t="n"/>
      <c r="H82" s="144" t="n"/>
      <c r="I82" s="199">
        <f>IF($A82="","",SUMIFS(DATA_TM!$F$2:$F$500,DATA_TM!$A$2:$A$500,$A82,DATA_TM!$E$2:$E$500,"Proceso"))</f>
        <v/>
      </c>
      <c r="J82" s="160" t="n"/>
      <c r="K82" s="144" t="n"/>
      <c r="L82" s="194">
        <f>IF($A82="","",C82+F82+I82)</f>
        <v/>
      </c>
      <c r="M82" s="160" t="n"/>
      <c r="N82" s="144" t="n"/>
      <c r="O82" s="191">
        <f>IF(L82="","",IFERROR(C82/L82*100,0))</f>
        <v/>
      </c>
      <c r="P82" s="160" t="n"/>
      <c r="Q82" s="144" t="n"/>
      <c r="R82" s="198">
        <f>IF($A82="","",IF(R81="",L82,R81+L82))</f>
        <v/>
      </c>
      <c r="S82" s="160" t="n"/>
      <c r="T82" s="144" t="n"/>
      <c r="U82" s="196">
        <f>IF($A82="","",IF(L82=0,"OK",IF(C82=0,IF(L82&lt;=120,"LEVE","ATENCIÓN"),IF(C82&lt;=120,"LEVE",IF(C82&lt;=300,"ATENCIÓN","CRÍTICO")))))</f>
        <v/>
      </c>
      <c r="V82" s="144" t="n"/>
    </row>
    <row r="83">
      <c r="A83" s="196">
        <f>IF(5&gt;DATA_CONFIG!$B$4,"",5)</f>
        <v/>
      </c>
      <c r="B83" s="94">
        <f>IF(A83="","",TEXT(DATE(DATA_CONFIG!$B$3,DATA_CONFIG!$B$2,A83),"ddd"))</f>
        <v/>
      </c>
      <c r="C83" s="200">
        <f>IF($A83="","",SUMIFS(DATA_TM!$F$2:$F$500,DATA_TM!$A$2:$A$500,$A83,DATA_TM!$E$2:$E$500,"Mantención"))</f>
        <v/>
      </c>
      <c r="D83" s="160" t="n"/>
      <c r="E83" s="144" t="n"/>
      <c r="F83" s="192">
        <f>IF($A83="","",SUMIFS(DATA_TM!$F$2:$F$500,DATA_TM!$A$2:$A$500,$A83,DATA_TM!$E$2:$E$500,"Operacional"))</f>
        <v/>
      </c>
      <c r="G83" s="160" t="n"/>
      <c r="H83" s="144" t="n"/>
      <c r="I83" s="199">
        <f>IF($A83="","",SUMIFS(DATA_TM!$F$2:$F$500,DATA_TM!$A$2:$A$500,$A83,DATA_TM!$E$2:$E$500,"Proceso"))</f>
        <v/>
      </c>
      <c r="J83" s="160" t="n"/>
      <c r="K83" s="144" t="n"/>
      <c r="L83" s="194">
        <f>IF($A83="","",C83+F83+I83)</f>
        <v/>
      </c>
      <c r="M83" s="160" t="n"/>
      <c r="N83" s="144" t="n"/>
      <c r="O83" s="191">
        <f>IF(L83="","",IFERROR(C83/L83*100,0))</f>
        <v/>
      </c>
      <c r="P83" s="160" t="n"/>
      <c r="Q83" s="144" t="n"/>
      <c r="R83" s="198">
        <f>IF($A83="","",IF(R82="",L83,R82+L83))</f>
        <v/>
      </c>
      <c r="S83" s="160" t="n"/>
      <c r="T83" s="144" t="n"/>
      <c r="U83" s="196">
        <f>IF($A83="","",IF(L83=0,"OK",IF(C83=0,IF(L83&lt;=120,"LEVE","ATENCIÓN"),IF(C83&lt;=120,"LEVE",IF(C83&lt;=300,"ATENCIÓN","CRÍTICO")))))</f>
        <v/>
      </c>
      <c r="V83" s="144" t="n"/>
    </row>
    <row r="84">
      <c r="A84" s="196">
        <f>IF(6&gt;DATA_CONFIG!$B$4,"",6)</f>
        <v/>
      </c>
      <c r="B84" s="94">
        <f>IF(A84="","",TEXT(DATE(DATA_CONFIG!$B$3,DATA_CONFIG!$B$2,A84),"ddd"))</f>
        <v/>
      </c>
      <c r="C84" s="200">
        <f>IF($A84="","",SUMIFS(DATA_TM!$F$2:$F$500,DATA_TM!$A$2:$A$500,$A84,DATA_TM!$E$2:$E$500,"Mantención"))</f>
        <v/>
      </c>
      <c r="D84" s="160" t="n"/>
      <c r="E84" s="144" t="n"/>
      <c r="F84" s="192">
        <f>IF($A84="","",SUMIFS(DATA_TM!$F$2:$F$500,DATA_TM!$A$2:$A$500,$A84,DATA_TM!$E$2:$E$500,"Operacional"))</f>
        <v/>
      </c>
      <c r="G84" s="160" t="n"/>
      <c r="H84" s="144" t="n"/>
      <c r="I84" s="199">
        <f>IF($A84="","",SUMIFS(DATA_TM!$F$2:$F$500,DATA_TM!$A$2:$A$500,$A84,DATA_TM!$E$2:$E$500,"Proceso"))</f>
        <v/>
      </c>
      <c r="J84" s="160" t="n"/>
      <c r="K84" s="144" t="n"/>
      <c r="L84" s="194">
        <f>IF($A84="","",C84+F84+I84)</f>
        <v/>
      </c>
      <c r="M84" s="160" t="n"/>
      <c r="N84" s="144" t="n"/>
      <c r="O84" s="191">
        <f>IF(L84="","",IFERROR(C84/L84*100,0))</f>
        <v/>
      </c>
      <c r="P84" s="160" t="n"/>
      <c r="Q84" s="144" t="n"/>
      <c r="R84" s="198">
        <f>IF($A84="","",IF(R83="",L84,R83+L84))</f>
        <v/>
      </c>
      <c r="S84" s="160" t="n"/>
      <c r="T84" s="144" t="n"/>
      <c r="U84" s="196">
        <f>IF($A84="","",IF(L84=0,"OK",IF(C84=0,IF(L84&lt;=120,"LEVE","ATENCIÓN"),IF(C84&lt;=120,"LEVE",IF(C84&lt;=300,"ATENCIÓN","CRÍTICO")))))</f>
        <v/>
      </c>
      <c r="V84" s="144" t="n"/>
    </row>
    <row r="85">
      <c r="A85" s="196">
        <f>IF(7&gt;DATA_CONFIG!$B$4,"",7)</f>
        <v/>
      </c>
      <c r="B85" s="94">
        <f>IF(A85="","",TEXT(DATE(DATA_CONFIG!$B$3,DATA_CONFIG!$B$2,A85),"ddd"))</f>
        <v/>
      </c>
      <c r="C85" s="200">
        <f>IF($A85="","",SUMIFS(DATA_TM!$F$2:$F$500,DATA_TM!$A$2:$A$500,$A85,DATA_TM!$E$2:$E$500,"Mantención"))</f>
        <v/>
      </c>
      <c r="D85" s="160" t="n"/>
      <c r="E85" s="144" t="n"/>
      <c r="F85" s="192">
        <f>IF($A85="","",SUMIFS(DATA_TM!$F$2:$F$500,DATA_TM!$A$2:$A$500,$A85,DATA_TM!$E$2:$E$500,"Operacional"))</f>
        <v/>
      </c>
      <c r="G85" s="160" t="n"/>
      <c r="H85" s="144" t="n"/>
      <c r="I85" s="199">
        <f>IF($A85="","",SUMIFS(DATA_TM!$F$2:$F$500,DATA_TM!$A$2:$A$500,$A85,DATA_TM!$E$2:$E$500,"Proceso"))</f>
        <v/>
      </c>
      <c r="J85" s="160" t="n"/>
      <c r="K85" s="144" t="n"/>
      <c r="L85" s="194">
        <f>IF($A85="","",C85+F85+I85)</f>
        <v/>
      </c>
      <c r="M85" s="160" t="n"/>
      <c r="N85" s="144" t="n"/>
      <c r="O85" s="191">
        <f>IF(L85="","",IFERROR(C85/L85*100,0))</f>
        <v/>
      </c>
      <c r="P85" s="160" t="n"/>
      <c r="Q85" s="144" t="n"/>
      <c r="R85" s="198">
        <f>IF($A85="","",IF(R84="",L85,R84+L85))</f>
        <v/>
      </c>
      <c r="S85" s="160" t="n"/>
      <c r="T85" s="144" t="n"/>
      <c r="U85" s="196">
        <f>IF($A85="","",IF(L85=0,"OK",IF(C85=0,IF(L85&lt;=120,"LEVE","ATENCIÓN"),IF(C85&lt;=120,"LEVE",IF(C85&lt;=300,"ATENCIÓN","CRÍTICO")))))</f>
        <v/>
      </c>
      <c r="V85" s="144" t="n"/>
    </row>
    <row r="86">
      <c r="A86" s="196">
        <f>IF(8&gt;DATA_CONFIG!$B$4,"",8)</f>
        <v/>
      </c>
      <c r="B86" s="94">
        <f>IF(A86="","",TEXT(DATE(DATA_CONFIG!$B$3,DATA_CONFIG!$B$2,A86),"ddd"))</f>
        <v/>
      </c>
      <c r="C86" s="200">
        <f>IF($A86="","",SUMIFS(DATA_TM!$F$2:$F$500,DATA_TM!$A$2:$A$500,$A86,DATA_TM!$E$2:$E$500,"Mantención"))</f>
        <v/>
      </c>
      <c r="D86" s="160" t="n"/>
      <c r="E86" s="144" t="n"/>
      <c r="F86" s="192">
        <f>IF($A86="","",SUMIFS(DATA_TM!$F$2:$F$500,DATA_TM!$A$2:$A$500,$A86,DATA_TM!$E$2:$E$500,"Operacional"))</f>
        <v/>
      </c>
      <c r="G86" s="160" t="n"/>
      <c r="H86" s="144" t="n"/>
      <c r="I86" s="199">
        <f>IF($A86="","",SUMIFS(DATA_TM!$F$2:$F$500,DATA_TM!$A$2:$A$500,$A86,DATA_TM!$E$2:$E$500,"Proceso"))</f>
        <v/>
      </c>
      <c r="J86" s="160" t="n"/>
      <c r="K86" s="144" t="n"/>
      <c r="L86" s="194">
        <f>IF($A86="","",C86+F86+I86)</f>
        <v/>
      </c>
      <c r="M86" s="160" t="n"/>
      <c r="N86" s="144" t="n"/>
      <c r="O86" s="191">
        <f>IF(L86="","",IFERROR(C86/L86*100,0))</f>
        <v/>
      </c>
      <c r="P86" s="160" t="n"/>
      <c r="Q86" s="144" t="n"/>
      <c r="R86" s="198">
        <f>IF($A86="","",IF(R85="",L86,R85+L86))</f>
        <v/>
      </c>
      <c r="S86" s="160" t="n"/>
      <c r="T86" s="144" t="n"/>
      <c r="U86" s="196">
        <f>IF($A86="","",IF(L86=0,"OK",IF(C86=0,IF(L86&lt;=120,"LEVE","ATENCIÓN"),IF(C86&lt;=120,"LEVE",IF(C86&lt;=300,"ATENCIÓN","CRÍTICO")))))</f>
        <v/>
      </c>
      <c r="V86" s="144" t="n"/>
    </row>
    <row r="87">
      <c r="A87" s="196">
        <f>IF(9&gt;DATA_CONFIG!$B$4,"",9)</f>
        <v/>
      </c>
      <c r="B87" s="94">
        <f>IF(A87="","",TEXT(DATE(DATA_CONFIG!$B$3,DATA_CONFIG!$B$2,A87),"ddd"))</f>
        <v/>
      </c>
      <c r="C87" s="200">
        <f>IF($A87="","",SUMIFS(DATA_TM!$F$2:$F$500,DATA_TM!$A$2:$A$500,$A87,DATA_TM!$E$2:$E$500,"Mantención"))</f>
        <v/>
      </c>
      <c r="D87" s="160" t="n"/>
      <c r="E87" s="144" t="n"/>
      <c r="F87" s="192">
        <f>IF($A87="","",SUMIFS(DATA_TM!$F$2:$F$500,DATA_TM!$A$2:$A$500,$A87,DATA_TM!$E$2:$E$500,"Operacional"))</f>
        <v/>
      </c>
      <c r="G87" s="160" t="n"/>
      <c r="H87" s="144" t="n"/>
      <c r="I87" s="199">
        <f>IF($A87="","",SUMIFS(DATA_TM!$F$2:$F$500,DATA_TM!$A$2:$A$500,$A87,DATA_TM!$E$2:$E$500,"Proceso"))</f>
        <v/>
      </c>
      <c r="J87" s="160" t="n"/>
      <c r="K87" s="144" t="n"/>
      <c r="L87" s="194">
        <f>IF($A87="","",C87+F87+I87)</f>
        <v/>
      </c>
      <c r="M87" s="160" t="n"/>
      <c r="N87" s="144" t="n"/>
      <c r="O87" s="191">
        <f>IF(L87="","",IFERROR(C87/L87*100,0))</f>
        <v/>
      </c>
      <c r="P87" s="160" t="n"/>
      <c r="Q87" s="144" t="n"/>
      <c r="R87" s="198">
        <f>IF($A87="","",IF(R86="",L87,R86+L87))</f>
        <v/>
      </c>
      <c r="S87" s="160" t="n"/>
      <c r="T87" s="144" t="n"/>
      <c r="U87" s="196">
        <f>IF($A87="","",IF(L87=0,"OK",IF(C87=0,IF(L87&lt;=120,"LEVE","ATENCIÓN"),IF(C87&lt;=120,"LEVE",IF(C87&lt;=300,"ATENCIÓN","CRÍTICO")))))</f>
        <v/>
      </c>
      <c r="V87" s="144" t="n"/>
    </row>
    <row r="88">
      <c r="A88" s="196">
        <f>IF(10&gt;DATA_CONFIG!$B$4,"",10)</f>
        <v/>
      </c>
      <c r="B88" s="94">
        <f>IF(A88="","",TEXT(DATE(DATA_CONFIG!$B$3,DATA_CONFIG!$B$2,A88),"ddd"))</f>
        <v/>
      </c>
      <c r="C88" s="200">
        <f>IF($A88="","",SUMIFS(DATA_TM!$F$2:$F$500,DATA_TM!$A$2:$A$500,$A88,DATA_TM!$E$2:$E$500,"Mantención"))</f>
        <v/>
      </c>
      <c r="D88" s="160" t="n"/>
      <c r="E88" s="144" t="n"/>
      <c r="F88" s="192">
        <f>IF($A88="","",SUMIFS(DATA_TM!$F$2:$F$500,DATA_TM!$A$2:$A$500,$A88,DATA_TM!$E$2:$E$500,"Operacional"))</f>
        <v/>
      </c>
      <c r="G88" s="160" t="n"/>
      <c r="H88" s="144" t="n"/>
      <c r="I88" s="199">
        <f>IF($A88="","",SUMIFS(DATA_TM!$F$2:$F$500,DATA_TM!$A$2:$A$500,$A88,DATA_TM!$E$2:$E$500,"Proceso"))</f>
        <v/>
      </c>
      <c r="J88" s="160" t="n"/>
      <c r="K88" s="144" t="n"/>
      <c r="L88" s="194">
        <f>IF($A88="","",C88+F88+I88)</f>
        <v/>
      </c>
      <c r="M88" s="160" t="n"/>
      <c r="N88" s="144" t="n"/>
      <c r="O88" s="191">
        <f>IF(L88="","",IFERROR(C88/L88*100,0))</f>
        <v/>
      </c>
      <c r="P88" s="160" t="n"/>
      <c r="Q88" s="144" t="n"/>
      <c r="R88" s="198">
        <f>IF($A88="","",IF(R87="",L88,R87+L88))</f>
        <v/>
      </c>
      <c r="S88" s="160" t="n"/>
      <c r="T88" s="144" t="n"/>
      <c r="U88" s="196">
        <f>IF($A88="","",IF(L88=0,"OK",IF(C88=0,IF(L88&lt;=120,"LEVE","ATENCIÓN"),IF(C88&lt;=120,"LEVE",IF(C88&lt;=300,"ATENCIÓN","CRÍTICO")))))</f>
        <v/>
      </c>
      <c r="V88" s="144" t="n"/>
    </row>
    <row r="89">
      <c r="A89" s="196">
        <f>IF(11&gt;DATA_CONFIG!$B$4,"",11)</f>
        <v/>
      </c>
      <c r="B89" s="94">
        <f>IF(A89="","",TEXT(DATE(DATA_CONFIG!$B$3,DATA_CONFIG!$B$2,A89),"ddd"))</f>
        <v/>
      </c>
      <c r="C89" s="200">
        <f>IF($A89="","",SUMIFS(DATA_TM!$F$2:$F$500,DATA_TM!$A$2:$A$500,$A89,DATA_TM!$E$2:$E$500,"Mantención"))</f>
        <v/>
      </c>
      <c r="D89" s="160" t="n"/>
      <c r="E89" s="144" t="n"/>
      <c r="F89" s="192">
        <f>IF($A89="","",SUMIFS(DATA_TM!$F$2:$F$500,DATA_TM!$A$2:$A$500,$A89,DATA_TM!$E$2:$E$500,"Operacional"))</f>
        <v/>
      </c>
      <c r="G89" s="160" t="n"/>
      <c r="H89" s="144" t="n"/>
      <c r="I89" s="199">
        <f>IF($A89="","",SUMIFS(DATA_TM!$F$2:$F$500,DATA_TM!$A$2:$A$500,$A89,DATA_TM!$E$2:$E$500,"Proceso"))</f>
        <v/>
      </c>
      <c r="J89" s="160" t="n"/>
      <c r="K89" s="144" t="n"/>
      <c r="L89" s="194">
        <f>IF($A89="","",C89+F89+I89)</f>
        <v/>
      </c>
      <c r="M89" s="160" t="n"/>
      <c r="N89" s="144" t="n"/>
      <c r="O89" s="191">
        <f>IF(L89="","",IFERROR(C89/L89*100,0))</f>
        <v/>
      </c>
      <c r="P89" s="160" t="n"/>
      <c r="Q89" s="144" t="n"/>
      <c r="R89" s="198">
        <f>IF($A89="","",IF(R88="",L89,R88+L89))</f>
        <v/>
      </c>
      <c r="S89" s="160" t="n"/>
      <c r="T89" s="144" t="n"/>
      <c r="U89" s="196">
        <f>IF($A89="","",IF(L89=0,"OK",IF(C89=0,IF(L89&lt;=120,"LEVE","ATENCIÓN"),IF(C89&lt;=120,"LEVE",IF(C89&lt;=300,"ATENCIÓN","CRÍTICO")))))</f>
        <v/>
      </c>
      <c r="V89" s="144" t="n"/>
    </row>
    <row r="90">
      <c r="A90" s="196">
        <f>IF(12&gt;DATA_CONFIG!$B$4,"",12)</f>
        <v/>
      </c>
      <c r="B90" s="94">
        <f>IF(A90="","",TEXT(DATE(DATA_CONFIG!$B$3,DATA_CONFIG!$B$2,A90),"ddd"))</f>
        <v/>
      </c>
      <c r="C90" s="200">
        <f>IF($A90="","",SUMIFS(DATA_TM!$F$2:$F$500,DATA_TM!$A$2:$A$500,$A90,DATA_TM!$E$2:$E$500,"Mantención"))</f>
        <v/>
      </c>
      <c r="D90" s="160" t="n"/>
      <c r="E90" s="144" t="n"/>
      <c r="F90" s="192">
        <f>IF($A90="","",SUMIFS(DATA_TM!$F$2:$F$500,DATA_TM!$A$2:$A$500,$A90,DATA_TM!$E$2:$E$500,"Operacional"))</f>
        <v/>
      </c>
      <c r="G90" s="160" t="n"/>
      <c r="H90" s="144" t="n"/>
      <c r="I90" s="199">
        <f>IF($A90="","",SUMIFS(DATA_TM!$F$2:$F$500,DATA_TM!$A$2:$A$500,$A90,DATA_TM!$E$2:$E$500,"Proceso"))</f>
        <v/>
      </c>
      <c r="J90" s="160" t="n"/>
      <c r="K90" s="144" t="n"/>
      <c r="L90" s="194">
        <f>IF($A90="","",C90+F90+I90)</f>
        <v/>
      </c>
      <c r="M90" s="160" t="n"/>
      <c r="N90" s="144" t="n"/>
      <c r="O90" s="191">
        <f>IF(L90="","",IFERROR(C90/L90*100,0))</f>
        <v/>
      </c>
      <c r="P90" s="160" t="n"/>
      <c r="Q90" s="144" t="n"/>
      <c r="R90" s="198">
        <f>IF($A90="","",IF(R89="",L90,R89+L90))</f>
        <v/>
      </c>
      <c r="S90" s="160" t="n"/>
      <c r="T90" s="144" t="n"/>
      <c r="U90" s="196">
        <f>IF($A90="","",IF(L90=0,"OK",IF(C90=0,IF(L90&lt;=120,"LEVE","ATENCIÓN"),IF(C90&lt;=120,"LEVE",IF(C90&lt;=300,"ATENCIÓN","CRÍTICO")))))</f>
        <v/>
      </c>
      <c r="V90" s="144" t="n"/>
    </row>
    <row r="91">
      <c r="A91" s="196">
        <f>IF(13&gt;DATA_CONFIG!$B$4,"",13)</f>
        <v/>
      </c>
      <c r="B91" s="94">
        <f>IF(A91="","",TEXT(DATE(DATA_CONFIG!$B$3,DATA_CONFIG!$B$2,A91),"ddd"))</f>
        <v/>
      </c>
      <c r="C91" s="200">
        <f>IF($A91="","",SUMIFS(DATA_TM!$F$2:$F$500,DATA_TM!$A$2:$A$500,$A91,DATA_TM!$E$2:$E$500,"Mantención"))</f>
        <v/>
      </c>
      <c r="D91" s="160" t="n"/>
      <c r="E91" s="144" t="n"/>
      <c r="F91" s="192">
        <f>IF($A91="","",SUMIFS(DATA_TM!$F$2:$F$500,DATA_TM!$A$2:$A$500,$A91,DATA_TM!$E$2:$E$500,"Operacional"))</f>
        <v/>
      </c>
      <c r="G91" s="160" t="n"/>
      <c r="H91" s="144" t="n"/>
      <c r="I91" s="199">
        <f>IF($A91="","",SUMIFS(DATA_TM!$F$2:$F$500,DATA_TM!$A$2:$A$500,$A91,DATA_TM!$E$2:$E$500,"Proceso"))</f>
        <v/>
      </c>
      <c r="J91" s="160" t="n"/>
      <c r="K91" s="144" t="n"/>
      <c r="L91" s="194">
        <f>IF($A91="","",C91+F91+I91)</f>
        <v/>
      </c>
      <c r="M91" s="160" t="n"/>
      <c r="N91" s="144" t="n"/>
      <c r="O91" s="191">
        <f>IF(L91="","",IFERROR(C91/L91*100,0))</f>
        <v/>
      </c>
      <c r="P91" s="160" t="n"/>
      <c r="Q91" s="144" t="n"/>
      <c r="R91" s="198">
        <f>IF($A91="","",IF(R90="",L91,R90+L91))</f>
        <v/>
      </c>
      <c r="S91" s="160" t="n"/>
      <c r="T91" s="144" t="n"/>
      <c r="U91" s="196">
        <f>IF($A91="","",IF(L91=0,"OK",IF(C91=0,IF(L91&lt;=120,"LEVE","ATENCIÓN"),IF(C91&lt;=120,"LEVE",IF(C91&lt;=300,"ATENCIÓN","CRÍTICO")))))</f>
        <v/>
      </c>
      <c r="V91" s="144" t="n"/>
    </row>
    <row r="92">
      <c r="A92" s="196">
        <f>IF(14&gt;DATA_CONFIG!$B$4,"",14)</f>
        <v/>
      </c>
      <c r="B92" s="94">
        <f>IF(A92="","",TEXT(DATE(DATA_CONFIG!$B$3,DATA_CONFIG!$B$2,A92),"ddd"))</f>
        <v/>
      </c>
      <c r="C92" s="200">
        <f>IF($A92="","",SUMIFS(DATA_TM!$F$2:$F$500,DATA_TM!$A$2:$A$500,$A92,DATA_TM!$E$2:$E$500,"Mantención"))</f>
        <v/>
      </c>
      <c r="D92" s="160" t="n"/>
      <c r="E92" s="144" t="n"/>
      <c r="F92" s="192">
        <f>IF($A92="","",SUMIFS(DATA_TM!$F$2:$F$500,DATA_TM!$A$2:$A$500,$A92,DATA_TM!$E$2:$E$500,"Operacional"))</f>
        <v/>
      </c>
      <c r="G92" s="160" t="n"/>
      <c r="H92" s="144" t="n"/>
      <c r="I92" s="199">
        <f>IF($A92="","",SUMIFS(DATA_TM!$F$2:$F$500,DATA_TM!$A$2:$A$500,$A92,DATA_TM!$E$2:$E$500,"Proceso"))</f>
        <v/>
      </c>
      <c r="J92" s="160" t="n"/>
      <c r="K92" s="144" t="n"/>
      <c r="L92" s="194">
        <f>IF($A92="","",C92+F92+I92)</f>
        <v/>
      </c>
      <c r="M92" s="160" t="n"/>
      <c r="N92" s="144" t="n"/>
      <c r="O92" s="191">
        <f>IF(L92="","",IFERROR(C92/L92*100,0))</f>
        <v/>
      </c>
      <c r="P92" s="160" t="n"/>
      <c r="Q92" s="144" t="n"/>
      <c r="R92" s="198">
        <f>IF($A92="","",IF(R91="",L92,R91+L92))</f>
        <v/>
      </c>
      <c r="S92" s="160" t="n"/>
      <c r="T92" s="144" t="n"/>
      <c r="U92" s="196">
        <f>IF($A92="","",IF(L92=0,"OK",IF(C92=0,IF(L92&lt;=120,"LEVE","ATENCIÓN"),IF(C92&lt;=120,"LEVE",IF(C92&lt;=300,"ATENCIÓN","CRÍTICO")))))</f>
        <v/>
      </c>
      <c r="V92" s="144" t="n"/>
    </row>
    <row r="93">
      <c r="A93" s="196">
        <f>IF(15&gt;DATA_CONFIG!$B$4,"",15)</f>
        <v/>
      </c>
      <c r="B93" s="94">
        <f>IF(A93="","",TEXT(DATE(DATA_CONFIG!$B$3,DATA_CONFIG!$B$2,A93),"ddd"))</f>
        <v/>
      </c>
      <c r="C93" s="200">
        <f>IF($A93="","",SUMIFS(DATA_TM!$F$2:$F$500,DATA_TM!$A$2:$A$500,$A93,DATA_TM!$E$2:$E$500,"Mantención"))</f>
        <v/>
      </c>
      <c r="D93" s="160" t="n"/>
      <c r="E93" s="144" t="n"/>
      <c r="F93" s="192">
        <f>IF($A93="","",SUMIFS(DATA_TM!$F$2:$F$500,DATA_TM!$A$2:$A$500,$A93,DATA_TM!$E$2:$E$500,"Operacional"))</f>
        <v/>
      </c>
      <c r="G93" s="160" t="n"/>
      <c r="H93" s="144" t="n"/>
      <c r="I93" s="199">
        <f>IF($A93="","",SUMIFS(DATA_TM!$F$2:$F$500,DATA_TM!$A$2:$A$500,$A93,DATA_TM!$E$2:$E$500,"Proceso"))</f>
        <v/>
      </c>
      <c r="J93" s="160" t="n"/>
      <c r="K93" s="144" t="n"/>
      <c r="L93" s="194">
        <f>IF($A93="","",C93+F93+I93)</f>
        <v/>
      </c>
      <c r="M93" s="160" t="n"/>
      <c r="N93" s="144" t="n"/>
      <c r="O93" s="191">
        <f>IF(L93="","",IFERROR(C93/L93*100,0))</f>
        <v/>
      </c>
      <c r="P93" s="160" t="n"/>
      <c r="Q93" s="144" t="n"/>
      <c r="R93" s="198">
        <f>IF($A93="","",IF(R92="",L93,R92+L93))</f>
        <v/>
      </c>
      <c r="S93" s="160" t="n"/>
      <c r="T93" s="144" t="n"/>
      <c r="U93" s="196">
        <f>IF($A93="","",IF(L93=0,"OK",IF(C93=0,IF(L93&lt;=120,"LEVE","ATENCIÓN"),IF(C93&lt;=120,"LEVE",IF(C93&lt;=300,"ATENCIÓN","CRÍTICO")))))</f>
        <v/>
      </c>
      <c r="V93" s="144" t="n"/>
    </row>
    <row r="94">
      <c r="A94" s="196">
        <f>IF(16&gt;DATA_CONFIG!$B$4,"",16)</f>
        <v/>
      </c>
      <c r="B94" s="94">
        <f>IF(A94="","",TEXT(DATE(DATA_CONFIG!$B$3,DATA_CONFIG!$B$2,A94),"ddd"))</f>
        <v/>
      </c>
      <c r="C94" s="200">
        <f>IF($A94="","",SUMIFS(DATA_TM!$F$2:$F$500,DATA_TM!$A$2:$A$500,$A94,DATA_TM!$E$2:$E$500,"Mantención"))</f>
        <v/>
      </c>
      <c r="D94" s="160" t="n"/>
      <c r="E94" s="144" t="n"/>
      <c r="F94" s="192">
        <f>IF($A94="","",SUMIFS(DATA_TM!$F$2:$F$500,DATA_TM!$A$2:$A$500,$A94,DATA_TM!$E$2:$E$500,"Operacional"))</f>
        <v/>
      </c>
      <c r="G94" s="160" t="n"/>
      <c r="H94" s="144" t="n"/>
      <c r="I94" s="199">
        <f>IF($A94="","",SUMIFS(DATA_TM!$F$2:$F$500,DATA_TM!$A$2:$A$500,$A94,DATA_TM!$E$2:$E$500,"Proceso"))</f>
        <v/>
      </c>
      <c r="J94" s="160" t="n"/>
      <c r="K94" s="144" t="n"/>
      <c r="L94" s="194">
        <f>IF($A94="","",C94+F94+I94)</f>
        <v/>
      </c>
      <c r="M94" s="160" t="n"/>
      <c r="N94" s="144" t="n"/>
      <c r="O94" s="191">
        <f>IF(L94="","",IFERROR(C94/L94*100,0))</f>
        <v/>
      </c>
      <c r="P94" s="160" t="n"/>
      <c r="Q94" s="144" t="n"/>
      <c r="R94" s="198">
        <f>IF($A94="","",IF(R93="",L94,R93+L94))</f>
        <v/>
      </c>
      <c r="S94" s="160" t="n"/>
      <c r="T94" s="144" t="n"/>
      <c r="U94" s="196">
        <f>IF($A94="","",IF(L94=0,"OK",IF(C94=0,IF(L94&lt;=120,"LEVE","ATENCIÓN"),IF(C94&lt;=120,"LEVE",IF(C94&lt;=300,"ATENCIÓN","CRÍTICO")))))</f>
        <v/>
      </c>
      <c r="V94" s="144" t="n"/>
    </row>
    <row r="95">
      <c r="A95" s="196">
        <f>IF(17&gt;DATA_CONFIG!$B$4,"",17)</f>
        <v/>
      </c>
      <c r="B95" s="94">
        <f>IF(A95="","",TEXT(DATE(DATA_CONFIG!$B$3,DATA_CONFIG!$B$2,A95),"ddd"))</f>
        <v/>
      </c>
      <c r="C95" s="200">
        <f>IF($A95="","",SUMIFS(DATA_TM!$F$2:$F$500,DATA_TM!$A$2:$A$500,$A95,DATA_TM!$E$2:$E$500,"Mantención"))</f>
        <v/>
      </c>
      <c r="D95" s="160" t="n"/>
      <c r="E95" s="144" t="n"/>
      <c r="F95" s="192">
        <f>IF($A95="","",SUMIFS(DATA_TM!$F$2:$F$500,DATA_TM!$A$2:$A$500,$A95,DATA_TM!$E$2:$E$500,"Operacional"))</f>
        <v/>
      </c>
      <c r="G95" s="160" t="n"/>
      <c r="H95" s="144" t="n"/>
      <c r="I95" s="199">
        <f>IF($A95="","",SUMIFS(DATA_TM!$F$2:$F$500,DATA_TM!$A$2:$A$500,$A95,DATA_TM!$E$2:$E$500,"Proceso"))</f>
        <v/>
      </c>
      <c r="J95" s="160" t="n"/>
      <c r="K95" s="144" t="n"/>
      <c r="L95" s="194">
        <f>IF($A95="","",C95+F95+I95)</f>
        <v/>
      </c>
      <c r="M95" s="160" t="n"/>
      <c r="N95" s="144" t="n"/>
      <c r="O95" s="191">
        <f>IF(L95="","",IFERROR(C95/L95*100,0))</f>
        <v/>
      </c>
      <c r="P95" s="160" t="n"/>
      <c r="Q95" s="144" t="n"/>
      <c r="R95" s="198">
        <f>IF($A95="","",IF(R94="",L95,R94+L95))</f>
        <v/>
      </c>
      <c r="S95" s="160" t="n"/>
      <c r="T95" s="144" t="n"/>
      <c r="U95" s="196">
        <f>IF($A95="","",IF(L95=0,"OK",IF(C95=0,IF(L95&lt;=120,"LEVE","ATENCIÓN"),IF(C95&lt;=120,"LEVE",IF(C95&lt;=300,"ATENCIÓN","CRÍTICO")))))</f>
        <v/>
      </c>
      <c r="V95" s="144" t="n"/>
    </row>
    <row r="96">
      <c r="A96" s="196">
        <f>IF(18&gt;DATA_CONFIG!$B$4,"",18)</f>
        <v/>
      </c>
      <c r="B96" s="94">
        <f>IF(A96="","",TEXT(DATE(DATA_CONFIG!$B$3,DATA_CONFIG!$B$2,A96),"ddd"))</f>
        <v/>
      </c>
      <c r="C96" s="200">
        <f>IF($A96="","",SUMIFS(DATA_TM!$F$2:$F$500,DATA_TM!$A$2:$A$500,$A96,DATA_TM!$E$2:$E$500,"Mantención"))</f>
        <v/>
      </c>
      <c r="D96" s="160" t="n"/>
      <c r="E96" s="144" t="n"/>
      <c r="F96" s="192">
        <f>IF($A96="","",SUMIFS(DATA_TM!$F$2:$F$500,DATA_TM!$A$2:$A$500,$A96,DATA_TM!$E$2:$E$500,"Operacional"))</f>
        <v/>
      </c>
      <c r="G96" s="160" t="n"/>
      <c r="H96" s="144" t="n"/>
      <c r="I96" s="199">
        <f>IF($A96="","",SUMIFS(DATA_TM!$F$2:$F$500,DATA_TM!$A$2:$A$500,$A96,DATA_TM!$E$2:$E$500,"Proceso"))</f>
        <v/>
      </c>
      <c r="J96" s="160" t="n"/>
      <c r="K96" s="144" t="n"/>
      <c r="L96" s="194">
        <f>IF($A96="","",C96+F96+I96)</f>
        <v/>
      </c>
      <c r="M96" s="160" t="n"/>
      <c r="N96" s="144" t="n"/>
      <c r="O96" s="191">
        <f>IF(L96="","",IFERROR(C96/L96*100,0))</f>
        <v/>
      </c>
      <c r="P96" s="160" t="n"/>
      <c r="Q96" s="144" t="n"/>
      <c r="R96" s="198">
        <f>IF($A96="","",IF(R95="",L96,R95+L96))</f>
        <v/>
      </c>
      <c r="S96" s="160" t="n"/>
      <c r="T96" s="144" t="n"/>
      <c r="U96" s="196">
        <f>IF($A96="","",IF(L96=0,"OK",IF(C96=0,IF(L96&lt;=120,"LEVE","ATENCIÓN"),IF(C96&lt;=120,"LEVE",IF(C96&lt;=300,"ATENCIÓN","CRÍTICO")))))</f>
        <v/>
      </c>
      <c r="V96" s="144" t="n"/>
    </row>
    <row r="97">
      <c r="A97" s="196">
        <f>IF(19&gt;DATA_CONFIG!$B$4,"",19)</f>
        <v/>
      </c>
      <c r="B97" s="94">
        <f>IF(A97="","",TEXT(DATE(DATA_CONFIG!$B$3,DATA_CONFIG!$B$2,A97),"ddd"))</f>
        <v/>
      </c>
      <c r="C97" s="200">
        <f>IF($A97="","",SUMIFS(DATA_TM!$F$2:$F$500,DATA_TM!$A$2:$A$500,$A97,DATA_TM!$E$2:$E$500,"Mantención"))</f>
        <v/>
      </c>
      <c r="D97" s="160" t="n"/>
      <c r="E97" s="144" t="n"/>
      <c r="F97" s="192">
        <f>IF($A97="","",SUMIFS(DATA_TM!$F$2:$F$500,DATA_TM!$A$2:$A$500,$A97,DATA_TM!$E$2:$E$500,"Operacional"))</f>
        <v/>
      </c>
      <c r="G97" s="160" t="n"/>
      <c r="H97" s="144" t="n"/>
      <c r="I97" s="199">
        <f>IF($A97="","",SUMIFS(DATA_TM!$F$2:$F$500,DATA_TM!$A$2:$A$500,$A97,DATA_TM!$E$2:$E$500,"Proceso"))</f>
        <v/>
      </c>
      <c r="J97" s="160" t="n"/>
      <c r="K97" s="144" t="n"/>
      <c r="L97" s="194">
        <f>IF($A97="","",C97+F97+I97)</f>
        <v/>
      </c>
      <c r="M97" s="160" t="n"/>
      <c r="N97" s="144" t="n"/>
      <c r="O97" s="191">
        <f>IF(L97="","",IFERROR(C97/L97*100,0))</f>
        <v/>
      </c>
      <c r="P97" s="160" t="n"/>
      <c r="Q97" s="144" t="n"/>
      <c r="R97" s="198">
        <f>IF($A97="","",IF(R96="",L97,R96+L97))</f>
        <v/>
      </c>
      <c r="S97" s="160" t="n"/>
      <c r="T97" s="144" t="n"/>
      <c r="U97" s="196">
        <f>IF($A97="","",IF(L97=0,"OK",IF(C97=0,IF(L97&lt;=120,"LEVE","ATENCIÓN"),IF(C97&lt;=120,"LEVE",IF(C97&lt;=300,"ATENCIÓN","CRÍTICO")))))</f>
        <v/>
      </c>
      <c r="V97" s="144" t="n"/>
    </row>
    <row r="98">
      <c r="A98" s="196">
        <f>IF(20&gt;DATA_CONFIG!$B$4,"",20)</f>
        <v/>
      </c>
      <c r="B98" s="94">
        <f>IF(A98="","",TEXT(DATE(DATA_CONFIG!$B$3,DATA_CONFIG!$B$2,A98),"ddd"))</f>
        <v/>
      </c>
      <c r="C98" s="200">
        <f>IF($A98="","",SUMIFS(DATA_TM!$F$2:$F$500,DATA_TM!$A$2:$A$500,$A98,DATA_TM!$E$2:$E$500,"Mantención"))</f>
        <v/>
      </c>
      <c r="D98" s="160" t="n"/>
      <c r="E98" s="144" t="n"/>
      <c r="F98" s="192">
        <f>IF($A98="","",SUMIFS(DATA_TM!$F$2:$F$500,DATA_TM!$A$2:$A$500,$A98,DATA_TM!$E$2:$E$500,"Operacional"))</f>
        <v/>
      </c>
      <c r="G98" s="160" t="n"/>
      <c r="H98" s="144" t="n"/>
      <c r="I98" s="199">
        <f>IF($A98="","",SUMIFS(DATA_TM!$F$2:$F$500,DATA_TM!$A$2:$A$500,$A98,DATA_TM!$E$2:$E$500,"Proceso"))</f>
        <v/>
      </c>
      <c r="J98" s="160" t="n"/>
      <c r="K98" s="144" t="n"/>
      <c r="L98" s="194">
        <f>IF($A98="","",C98+F98+I98)</f>
        <v/>
      </c>
      <c r="M98" s="160" t="n"/>
      <c r="N98" s="144" t="n"/>
      <c r="O98" s="191">
        <f>IF(L98="","",IFERROR(C98/L98*100,0))</f>
        <v/>
      </c>
      <c r="P98" s="160" t="n"/>
      <c r="Q98" s="144" t="n"/>
      <c r="R98" s="198">
        <f>IF($A98="","",IF(R97="",L98,R97+L98))</f>
        <v/>
      </c>
      <c r="S98" s="160" t="n"/>
      <c r="T98" s="144" t="n"/>
      <c r="U98" s="196">
        <f>IF($A98="","",IF(L98=0,"OK",IF(C98=0,IF(L98&lt;=120,"LEVE","ATENCIÓN"),IF(C98&lt;=120,"LEVE",IF(C98&lt;=300,"ATENCIÓN","CRÍTICO")))))</f>
        <v/>
      </c>
      <c r="V98" s="144" t="n"/>
    </row>
    <row r="99">
      <c r="A99" s="196">
        <f>IF(21&gt;DATA_CONFIG!$B$4,"",21)</f>
        <v/>
      </c>
      <c r="B99" s="94">
        <f>IF(A99="","",TEXT(DATE(DATA_CONFIG!$B$3,DATA_CONFIG!$B$2,A99),"ddd"))</f>
        <v/>
      </c>
      <c r="C99" s="200">
        <f>IF($A99="","",SUMIFS(DATA_TM!$F$2:$F$500,DATA_TM!$A$2:$A$500,$A99,DATA_TM!$E$2:$E$500,"Mantención"))</f>
        <v/>
      </c>
      <c r="D99" s="160" t="n"/>
      <c r="E99" s="144" t="n"/>
      <c r="F99" s="192">
        <f>IF($A99="","",SUMIFS(DATA_TM!$F$2:$F$500,DATA_TM!$A$2:$A$500,$A99,DATA_TM!$E$2:$E$500,"Operacional"))</f>
        <v/>
      </c>
      <c r="G99" s="160" t="n"/>
      <c r="H99" s="144" t="n"/>
      <c r="I99" s="199">
        <f>IF($A99="","",SUMIFS(DATA_TM!$F$2:$F$500,DATA_TM!$A$2:$A$500,$A99,DATA_TM!$E$2:$E$500,"Proceso"))</f>
        <v/>
      </c>
      <c r="J99" s="160" t="n"/>
      <c r="K99" s="144" t="n"/>
      <c r="L99" s="194">
        <f>IF($A99="","",C99+F99+I99)</f>
        <v/>
      </c>
      <c r="M99" s="160" t="n"/>
      <c r="N99" s="144" t="n"/>
      <c r="O99" s="191">
        <f>IF(L99="","",IFERROR(C99/L99*100,0))</f>
        <v/>
      </c>
      <c r="P99" s="160" t="n"/>
      <c r="Q99" s="144" t="n"/>
      <c r="R99" s="198">
        <f>IF($A99="","",IF(R98="",L99,R98+L99))</f>
        <v/>
      </c>
      <c r="S99" s="160" t="n"/>
      <c r="T99" s="144" t="n"/>
      <c r="U99" s="196">
        <f>IF($A99="","",IF(L99=0,"OK",IF(C99=0,IF(L99&lt;=120,"LEVE","ATENCIÓN"),IF(C99&lt;=120,"LEVE",IF(C99&lt;=300,"ATENCIÓN","CRÍTICO")))))</f>
        <v/>
      </c>
      <c r="V99" s="144" t="n"/>
    </row>
    <row r="100">
      <c r="A100" s="196">
        <f>IF(22&gt;DATA_CONFIG!$B$4,"",22)</f>
        <v/>
      </c>
      <c r="B100" s="94">
        <f>IF(A100="","",TEXT(DATE(DATA_CONFIG!$B$3,DATA_CONFIG!$B$2,A100),"ddd"))</f>
        <v/>
      </c>
      <c r="C100" s="200">
        <f>IF($A100="","",SUMIFS(DATA_TM!$F$2:$F$500,DATA_TM!$A$2:$A$500,$A100,DATA_TM!$E$2:$E$500,"Mantención"))</f>
        <v/>
      </c>
      <c r="D100" s="160" t="n"/>
      <c r="E100" s="144" t="n"/>
      <c r="F100" s="192">
        <f>IF($A100="","",SUMIFS(DATA_TM!$F$2:$F$500,DATA_TM!$A$2:$A$500,$A100,DATA_TM!$E$2:$E$500,"Operacional"))</f>
        <v/>
      </c>
      <c r="G100" s="160" t="n"/>
      <c r="H100" s="144" t="n"/>
      <c r="I100" s="199">
        <f>IF($A100="","",SUMIFS(DATA_TM!$F$2:$F$500,DATA_TM!$A$2:$A$500,$A100,DATA_TM!$E$2:$E$500,"Proceso"))</f>
        <v/>
      </c>
      <c r="J100" s="160" t="n"/>
      <c r="K100" s="144" t="n"/>
      <c r="L100" s="194">
        <f>IF($A100="","",C100+F100+I100)</f>
        <v/>
      </c>
      <c r="M100" s="160" t="n"/>
      <c r="N100" s="144" t="n"/>
      <c r="O100" s="191">
        <f>IF(L100="","",IFERROR(C100/L100*100,0))</f>
        <v/>
      </c>
      <c r="P100" s="160" t="n"/>
      <c r="Q100" s="144" t="n"/>
      <c r="R100" s="198">
        <f>IF($A100="","",IF(R99="",L100,R99+L100))</f>
        <v/>
      </c>
      <c r="S100" s="160" t="n"/>
      <c r="T100" s="144" t="n"/>
      <c r="U100" s="196">
        <f>IF($A100="","",IF(L100=0,"OK",IF(C100=0,IF(L100&lt;=120,"LEVE","ATENCIÓN"),IF(C100&lt;=120,"LEVE",IF(C100&lt;=300,"ATENCIÓN","CRÍTICO")))))</f>
        <v/>
      </c>
      <c r="V100" s="144" t="n"/>
    </row>
    <row r="101">
      <c r="A101" s="196">
        <f>IF(23&gt;DATA_CONFIG!$B$4,"",23)</f>
        <v/>
      </c>
      <c r="B101" s="94">
        <f>IF(A101="","",TEXT(DATE(DATA_CONFIG!$B$3,DATA_CONFIG!$B$2,A101),"ddd"))</f>
        <v/>
      </c>
      <c r="C101" s="200">
        <f>IF($A101="","",SUMIFS(DATA_TM!$F$2:$F$500,DATA_TM!$A$2:$A$500,$A101,DATA_TM!$E$2:$E$500,"Mantención"))</f>
        <v/>
      </c>
      <c r="D101" s="160" t="n"/>
      <c r="E101" s="144" t="n"/>
      <c r="F101" s="192">
        <f>IF($A101="","",SUMIFS(DATA_TM!$F$2:$F$500,DATA_TM!$A$2:$A$500,$A101,DATA_TM!$E$2:$E$500,"Operacional"))</f>
        <v/>
      </c>
      <c r="G101" s="160" t="n"/>
      <c r="H101" s="144" t="n"/>
      <c r="I101" s="199">
        <f>IF($A101="","",SUMIFS(DATA_TM!$F$2:$F$500,DATA_TM!$A$2:$A$500,$A101,DATA_TM!$E$2:$E$500,"Proceso"))</f>
        <v/>
      </c>
      <c r="J101" s="160" t="n"/>
      <c r="K101" s="144" t="n"/>
      <c r="L101" s="194">
        <f>IF($A101="","",C101+F101+I101)</f>
        <v/>
      </c>
      <c r="M101" s="160" t="n"/>
      <c r="N101" s="144" t="n"/>
      <c r="O101" s="191">
        <f>IF(L101="","",IFERROR(C101/L101*100,0))</f>
        <v/>
      </c>
      <c r="P101" s="160" t="n"/>
      <c r="Q101" s="144" t="n"/>
      <c r="R101" s="198">
        <f>IF($A101="","",IF(R100="",L101,R100+L101))</f>
        <v/>
      </c>
      <c r="S101" s="160" t="n"/>
      <c r="T101" s="144" t="n"/>
      <c r="U101" s="196">
        <f>IF($A101="","",IF(L101=0,"OK",IF(C101=0,IF(L101&lt;=120,"LEVE","ATENCIÓN"),IF(C101&lt;=120,"LEVE",IF(C101&lt;=300,"ATENCIÓN","CRÍTICO")))))</f>
        <v/>
      </c>
      <c r="V101" s="144" t="n"/>
    </row>
    <row r="102">
      <c r="A102" s="196">
        <f>IF(24&gt;DATA_CONFIG!$B$4,"",24)</f>
        <v/>
      </c>
      <c r="B102" s="94">
        <f>IF(A102="","",TEXT(DATE(DATA_CONFIG!$B$3,DATA_CONFIG!$B$2,A102),"ddd"))</f>
        <v/>
      </c>
      <c r="C102" s="200">
        <f>IF($A102="","",SUMIFS(DATA_TM!$F$2:$F$500,DATA_TM!$A$2:$A$500,$A102,DATA_TM!$E$2:$E$500,"Mantención"))</f>
        <v/>
      </c>
      <c r="D102" s="160" t="n"/>
      <c r="E102" s="144" t="n"/>
      <c r="F102" s="192">
        <f>IF($A102="","",SUMIFS(DATA_TM!$F$2:$F$500,DATA_TM!$A$2:$A$500,$A102,DATA_TM!$E$2:$E$500,"Operacional"))</f>
        <v/>
      </c>
      <c r="G102" s="160" t="n"/>
      <c r="H102" s="144" t="n"/>
      <c r="I102" s="199">
        <f>IF($A102="","",SUMIFS(DATA_TM!$F$2:$F$500,DATA_TM!$A$2:$A$500,$A102,DATA_TM!$E$2:$E$500,"Proceso"))</f>
        <v/>
      </c>
      <c r="J102" s="160" t="n"/>
      <c r="K102" s="144" t="n"/>
      <c r="L102" s="194">
        <f>IF($A102="","",C102+F102+I102)</f>
        <v/>
      </c>
      <c r="M102" s="160" t="n"/>
      <c r="N102" s="144" t="n"/>
      <c r="O102" s="191">
        <f>IF(L102="","",IFERROR(C102/L102*100,0))</f>
        <v/>
      </c>
      <c r="P102" s="160" t="n"/>
      <c r="Q102" s="144" t="n"/>
      <c r="R102" s="198">
        <f>IF($A102="","",IF(R101="",L102,R101+L102))</f>
        <v/>
      </c>
      <c r="S102" s="160" t="n"/>
      <c r="T102" s="144" t="n"/>
      <c r="U102" s="196">
        <f>IF($A102="","",IF(L102=0,"OK",IF(C102=0,IF(L102&lt;=120,"LEVE","ATENCIÓN"),IF(C102&lt;=120,"LEVE",IF(C102&lt;=300,"ATENCIÓN","CRÍTICO")))))</f>
        <v/>
      </c>
      <c r="V102" s="144" t="n"/>
    </row>
    <row r="103">
      <c r="A103" s="196">
        <f>IF(25&gt;DATA_CONFIG!$B$4,"",25)</f>
        <v/>
      </c>
      <c r="B103" s="94">
        <f>IF(A103="","",TEXT(DATE(DATA_CONFIG!$B$3,DATA_CONFIG!$B$2,A103),"ddd"))</f>
        <v/>
      </c>
      <c r="C103" s="200">
        <f>IF($A103="","",SUMIFS(DATA_TM!$F$2:$F$500,DATA_TM!$A$2:$A$500,$A103,DATA_TM!$E$2:$E$500,"Mantención"))</f>
        <v/>
      </c>
      <c r="D103" s="160" t="n"/>
      <c r="E103" s="144" t="n"/>
      <c r="F103" s="192">
        <f>IF($A103="","",SUMIFS(DATA_TM!$F$2:$F$500,DATA_TM!$A$2:$A$500,$A103,DATA_TM!$E$2:$E$500,"Operacional"))</f>
        <v/>
      </c>
      <c r="G103" s="160" t="n"/>
      <c r="H103" s="144" t="n"/>
      <c r="I103" s="199">
        <f>IF($A103="","",SUMIFS(DATA_TM!$F$2:$F$500,DATA_TM!$A$2:$A$500,$A103,DATA_TM!$E$2:$E$500,"Proceso"))</f>
        <v/>
      </c>
      <c r="J103" s="160" t="n"/>
      <c r="K103" s="144" t="n"/>
      <c r="L103" s="194">
        <f>IF($A103="","",C103+F103+I103)</f>
        <v/>
      </c>
      <c r="M103" s="160" t="n"/>
      <c r="N103" s="144" t="n"/>
      <c r="O103" s="191">
        <f>IF(L103="","",IFERROR(C103/L103*100,0))</f>
        <v/>
      </c>
      <c r="P103" s="160" t="n"/>
      <c r="Q103" s="144" t="n"/>
      <c r="R103" s="198">
        <f>IF($A103="","",IF(R102="",L103,R102+L103))</f>
        <v/>
      </c>
      <c r="S103" s="160" t="n"/>
      <c r="T103" s="144" t="n"/>
      <c r="U103" s="196">
        <f>IF($A103="","",IF(L103=0,"OK",IF(C103=0,IF(L103&lt;=120,"LEVE","ATENCIÓN"),IF(C103&lt;=120,"LEVE",IF(C103&lt;=300,"ATENCIÓN","CRÍTICO")))))</f>
        <v/>
      </c>
      <c r="V103" s="144" t="n"/>
    </row>
    <row r="104">
      <c r="A104" s="196">
        <f>IF(26&gt;DATA_CONFIG!$B$4,"",26)</f>
        <v/>
      </c>
      <c r="B104" s="94">
        <f>IF(A104="","",TEXT(DATE(DATA_CONFIG!$B$3,DATA_CONFIG!$B$2,A104),"ddd"))</f>
        <v/>
      </c>
      <c r="C104" s="200">
        <f>IF($A104="","",SUMIFS(DATA_TM!$F$2:$F$500,DATA_TM!$A$2:$A$500,$A104,DATA_TM!$E$2:$E$500,"Mantención"))</f>
        <v/>
      </c>
      <c r="D104" s="160" t="n"/>
      <c r="E104" s="144" t="n"/>
      <c r="F104" s="192">
        <f>IF($A104="","",SUMIFS(DATA_TM!$F$2:$F$500,DATA_TM!$A$2:$A$500,$A104,DATA_TM!$E$2:$E$500,"Operacional"))</f>
        <v/>
      </c>
      <c r="G104" s="160" t="n"/>
      <c r="H104" s="144" t="n"/>
      <c r="I104" s="199">
        <f>IF($A104="","",SUMIFS(DATA_TM!$F$2:$F$500,DATA_TM!$A$2:$A$500,$A104,DATA_TM!$E$2:$E$500,"Proceso"))</f>
        <v/>
      </c>
      <c r="J104" s="160" t="n"/>
      <c r="K104" s="144" t="n"/>
      <c r="L104" s="194">
        <f>IF($A104="","",C104+F104+I104)</f>
        <v/>
      </c>
      <c r="M104" s="160" t="n"/>
      <c r="N104" s="144" t="n"/>
      <c r="O104" s="191">
        <f>IF(L104="","",IFERROR(C104/L104*100,0))</f>
        <v/>
      </c>
      <c r="P104" s="160" t="n"/>
      <c r="Q104" s="144" t="n"/>
      <c r="R104" s="198">
        <f>IF($A104="","",IF(R103="",L104,R103+L104))</f>
        <v/>
      </c>
      <c r="S104" s="160" t="n"/>
      <c r="T104" s="144" t="n"/>
      <c r="U104" s="196">
        <f>IF($A104="","",IF(L104=0,"OK",IF(C104=0,IF(L104&lt;=120,"LEVE","ATENCIÓN"),IF(C104&lt;=120,"LEVE",IF(C104&lt;=300,"ATENCIÓN","CRÍTICO")))))</f>
        <v/>
      </c>
      <c r="V104" s="144" t="n"/>
    </row>
    <row r="105">
      <c r="A105" s="196">
        <f>IF(27&gt;DATA_CONFIG!$B$4,"",27)</f>
        <v/>
      </c>
      <c r="B105" s="94">
        <f>IF(A105="","",TEXT(DATE(DATA_CONFIG!$B$3,DATA_CONFIG!$B$2,A105),"ddd"))</f>
        <v/>
      </c>
      <c r="C105" s="200">
        <f>IF($A105="","",SUMIFS(DATA_TM!$F$2:$F$500,DATA_TM!$A$2:$A$500,$A105,DATA_TM!$E$2:$E$500,"Mantención"))</f>
        <v/>
      </c>
      <c r="D105" s="160" t="n"/>
      <c r="E105" s="144" t="n"/>
      <c r="F105" s="192">
        <f>IF($A105="","",SUMIFS(DATA_TM!$F$2:$F$500,DATA_TM!$A$2:$A$500,$A105,DATA_TM!$E$2:$E$500,"Operacional"))</f>
        <v/>
      </c>
      <c r="G105" s="160" t="n"/>
      <c r="H105" s="144" t="n"/>
      <c r="I105" s="199">
        <f>IF($A105="","",SUMIFS(DATA_TM!$F$2:$F$500,DATA_TM!$A$2:$A$500,$A105,DATA_TM!$E$2:$E$500,"Proceso"))</f>
        <v/>
      </c>
      <c r="J105" s="160" t="n"/>
      <c r="K105" s="144" t="n"/>
      <c r="L105" s="194">
        <f>IF($A105="","",C105+F105+I105)</f>
        <v/>
      </c>
      <c r="M105" s="160" t="n"/>
      <c r="N105" s="144" t="n"/>
      <c r="O105" s="191">
        <f>IF(L105="","",IFERROR(C105/L105*100,0))</f>
        <v/>
      </c>
      <c r="P105" s="160" t="n"/>
      <c r="Q105" s="144" t="n"/>
      <c r="R105" s="198">
        <f>IF($A105="","",IF(R104="",L105,R104+L105))</f>
        <v/>
      </c>
      <c r="S105" s="160" t="n"/>
      <c r="T105" s="144" t="n"/>
      <c r="U105" s="196">
        <f>IF($A105="","",IF(L105=0,"OK",IF(C105=0,IF(L105&lt;=120,"LEVE","ATENCIÓN"),IF(C105&lt;=120,"LEVE",IF(C105&lt;=300,"ATENCIÓN","CRÍTICO")))))</f>
        <v/>
      </c>
      <c r="V105" s="144" t="n"/>
    </row>
    <row r="106">
      <c r="A106" s="196">
        <f>IF(28&gt;DATA_CONFIG!$B$4,"",28)</f>
        <v/>
      </c>
      <c r="B106" s="94">
        <f>IF(A106="","",TEXT(DATE(DATA_CONFIG!$B$3,DATA_CONFIG!$B$2,A106),"ddd"))</f>
        <v/>
      </c>
      <c r="C106" s="200">
        <f>IF($A106="","",SUMIFS(DATA_TM!$F$2:$F$500,DATA_TM!$A$2:$A$500,$A106,DATA_TM!$E$2:$E$500,"Mantención"))</f>
        <v/>
      </c>
      <c r="D106" s="160" t="n"/>
      <c r="E106" s="144" t="n"/>
      <c r="F106" s="192">
        <f>IF($A106="","",SUMIFS(DATA_TM!$F$2:$F$500,DATA_TM!$A$2:$A$500,$A106,DATA_TM!$E$2:$E$500,"Operacional"))</f>
        <v/>
      </c>
      <c r="G106" s="160" t="n"/>
      <c r="H106" s="144" t="n"/>
      <c r="I106" s="199">
        <f>IF($A106="","",SUMIFS(DATA_TM!$F$2:$F$500,DATA_TM!$A$2:$A$500,$A106,DATA_TM!$E$2:$E$500,"Proceso"))</f>
        <v/>
      </c>
      <c r="J106" s="160" t="n"/>
      <c r="K106" s="144" t="n"/>
      <c r="L106" s="194">
        <f>IF($A106="","",C106+F106+I106)</f>
        <v/>
      </c>
      <c r="M106" s="160" t="n"/>
      <c r="N106" s="144" t="n"/>
      <c r="O106" s="191">
        <f>IF(L106="","",IFERROR(C106/L106*100,0))</f>
        <v/>
      </c>
      <c r="P106" s="160" t="n"/>
      <c r="Q106" s="144" t="n"/>
      <c r="R106" s="198">
        <f>IF($A106="","",IF(R105="",L106,R105+L106))</f>
        <v/>
      </c>
      <c r="S106" s="160" t="n"/>
      <c r="T106" s="144" t="n"/>
      <c r="U106" s="196">
        <f>IF($A106="","",IF(L106=0,"OK",IF(C106=0,IF(L106&lt;=120,"LEVE","ATENCIÓN"),IF(C106&lt;=120,"LEVE",IF(C106&lt;=300,"ATENCIÓN","CRÍTICO")))))</f>
        <v/>
      </c>
      <c r="V106" s="144" t="n"/>
    </row>
    <row r="107">
      <c r="A107" s="196">
        <f>IF(29&gt;DATA_CONFIG!$B$4,"",29)</f>
        <v/>
      </c>
      <c r="B107" s="94">
        <f>IF(A107="","",TEXT(DATE(DATA_CONFIG!$B$3,DATA_CONFIG!$B$2,A107),"ddd"))</f>
        <v/>
      </c>
      <c r="C107" s="200">
        <f>IF($A107="","",SUMIFS(DATA_TM!$F$2:$F$500,DATA_TM!$A$2:$A$500,$A107,DATA_TM!$E$2:$E$500,"Mantención"))</f>
        <v/>
      </c>
      <c r="D107" s="160" t="n"/>
      <c r="E107" s="144" t="n"/>
      <c r="F107" s="192">
        <f>IF($A107="","",SUMIFS(DATA_TM!$F$2:$F$500,DATA_TM!$A$2:$A$500,$A107,DATA_TM!$E$2:$E$500,"Operacional"))</f>
        <v/>
      </c>
      <c r="G107" s="160" t="n"/>
      <c r="H107" s="144" t="n"/>
      <c r="I107" s="199">
        <f>IF($A107="","",SUMIFS(DATA_TM!$F$2:$F$500,DATA_TM!$A$2:$A$500,$A107,DATA_TM!$E$2:$E$500,"Proceso"))</f>
        <v/>
      </c>
      <c r="J107" s="160" t="n"/>
      <c r="K107" s="144" t="n"/>
      <c r="L107" s="194">
        <f>IF($A107="","",C107+F107+I107)</f>
        <v/>
      </c>
      <c r="M107" s="160" t="n"/>
      <c r="N107" s="144" t="n"/>
      <c r="O107" s="191">
        <f>IF(L107="","",IFERROR(C107/L107*100,0))</f>
        <v/>
      </c>
      <c r="P107" s="160" t="n"/>
      <c r="Q107" s="144" t="n"/>
      <c r="R107" s="198">
        <f>IF($A107="","",IF(R106="",L107,R106+L107))</f>
        <v/>
      </c>
      <c r="S107" s="160" t="n"/>
      <c r="T107" s="144" t="n"/>
      <c r="U107" s="196">
        <f>IF($A107="","",IF(L107=0,"OK",IF(C107=0,IF(L107&lt;=120,"LEVE","ATENCIÓN"),IF(C107&lt;=120,"LEVE",IF(C107&lt;=300,"ATENCIÓN","CRÍTICO")))))</f>
        <v/>
      </c>
      <c r="V107" s="144" t="n"/>
    </row>
    <row r="108">
      <c r="A108" s="196">
        <f>IF(30&gt;DATA_CONFIG!$B$4,"",30)</f>
        <v/>
      </c>
      <c r="B108" s="94">
        <f>IF(A108="","",TEXT(DATE(DATA_CONFIG!$B$3,DATA_CONFIG!$B$2,A108),"ddd"))</f>
        <v/>
      </c>
      <c r="C108" s="200">
        <f>IF($A108="","",SUMIFS(DATA_TM!$F$2:$F$500,DATA_TM!$A$2:$A$500,$A108,DATA_TM!$E$2:$E$500,"Mantención"))</f>
        <v/>
      </c>
      <c r="D108" s="160" t="n"/>
      <c r="E108" s="144" t="n"/>
      <c r="F108" s="192">
        <f>IF($A108="","",SUMIFS(DATA_TM!$F$2:$F$500,DATA_TM!$A$2:$A$500,$A108,DATA_TM!$E$2:$E$500,"Operacional"))</f>
        <v/>
      </c>
      <c r="G108" s="160" t="n"/>
      <c r="H108" s="144" t="n"/>
      <c r="I108" s="199">
        <f>IF($A108="","",SUMIFS(DATA_TM!$F$2:$F$500,DATA_TM!$A$2:$A$500,$A108,DATA_TM!$E$2:$E$500,"Proceso"))</f>
        <v/>
      </c>
      <c r="J108" s="160" t="n"/>
      <c r="K108" s="144" t="n"/>
      <c r="L108" s="194">
        <f>IF($A108="","",C108+F108+I108)</f>
        <v/>
      </c>
      <c r="M108" s="160" t="n"/>
      <c r="N108" s="144" t="n"/>
      <c r="O108" s="191">
        <f>IF(L108="","",IFERROR(C108/L108*100,0))</f>
        <v/>
      </c>
      <c r="P108" s="160" t="n"/>
      <c r="Q108" s="144" t="n"/>
      <c r="R108" s="198">
        <f>IF($A108="","",IF(R107="",L108,R107+L108))</f>
        <v/>
      </c>
      <c r="S108" s="160" t="n"/>
      <c r="T108" s="144" t="n"/>
      <c r="U108" s="196">
        <f>IF($A108="","",IF(L108=0,"OK",IF(C108=0,IF(L108&lt;=120,"LEVE","ATENCIÓN"),IF(C108&lt;=120,"LEVE",IF(C108&lt;=300,"ATENCIÓN","CRÍTICO")))))</f>
        <v/>
      </c>
      <c r="V108" s="144" t="n"/>
    </row>
    <row r="109">
      <c r="A109" s="196">
        <f>IF(31&gt;DATA_CONFIG!$B$4,"",31)</f>
        <v/>
      </c>
      <c r="B109" s="94">
        <f>IF(A109="","",TEXT(DATE(DATA_CONFIG!$B$3,DATA_CONFIG!$B$2,A109),"ddd"))</f>
        <v/>
      </c>
      <c r="C109" s="200">
        <f>IF($A109="","",SUMIFS(DATA_TM!$F$2:$F$500,DATA_TM!$A$2:$A$500,$A109,DATA_TM!$E$2:$E$500,"Mantención"))</f>
        <v/>
      </c>
      <c r="D109" s="160" t="n"/>
      <c r="E109" s="144" t="n"/>
      <c r="F109" s="192">
        <f>IF($A109="","",SUMIFS(DATA_TM!$F$2:$F$500,DATA_TM!$A$2:$A$500,$A109,DATA_TM!$E$2:$E$500,"Operacional"))</f>
        <v/>
      </c>
      <c r="G109" s="160" t="n"/>
      <c r="H109" s="144" t="n"/>
      <c r="I109" s="199">
        <f>IF($A109="","",SUMIFS(DATA_TM!$F$2:$F$500,DATA_TM!$A$2:$A$500,$A109,DATA_TM!$E$2:$E$500,"Proceso"))</f>
        <v/>
      </c>
      <c r="J109" s="160" t="n"/>
      <c r="K109" s="144" t="n"/>
      <c r="L109" s="194">
        <f>IF($A109="","",C109+F109+I109)</f>
        <v/>
      </c>
      <c r="M109" s="160" t="n"/>
      <c r="N109" s="144" t="n"/>
      <c r="O109" s="191">
        <f>IF(L109="","",IFERROR(C109/L109*100,0))</f>
        <v/>
      </c>
      <c r="P109" s="160" t="n"/>
      <c r="Q109" s="144" t="n"/>
      <c r="R109" s="198">
        <f>IF($A109="","",IF(R108="",L109,R108+L109))</f>
        <v/>
      </c>
      <c r="S109" s="160" t="n"/>
      <c r="T109" s="144" t="n"/>
      <c r="U109" s="196">
        <f>IF($A109="","",IF(L109=0,"OK",IF(C109=0,IF(L109&lt;=120,"LEVE","ATENCIÓN"),IF(C109&lt;=120,"LEVE",IF(C109&lt;=300,"ATENCIÓN","CRÍTICO")))))</f>
        <v/>
      </c>
      <c r="V109" s="144" t="n"/>
    </row>
    <row r="111">
      <c r="A111" s="223" t="inlineStr">
        <is>
          <t>LEYENDA DE SEMÁFORO</t>
        </is>
      </c>
      <c r="B111" s="160" t="n"/>
      <c r="C111" s="160" t="n"/>
      <c r="D111" s="160" t="n"/>
      <c r="E111" s="160" t="n"/>
      <c r="F111" s="160" t="n"/>
      <c r="G111" s="160" t="n"/>
      <c r="H111" s="160" t="n"/>
      <c r="I111" s="160" t="n"/>
      <c r="J111" s="160" t="n"/>
      <c r="K111" s="160" t="n"/>
      <c r="L111" s="160" t="n"/>
      <c r="M111" s="160" t="n"/>
      <c r="N111" s="160" t="n"/>
      <c r="O111" s="160" t="n"/>
      <c r="P111" s="160" t="n"/>
      <c r="Q111" s="160" t="n"/>
      <c r="R111" s="160" t="n"/>
      <c r="S111" s="160" t="n"/>
      <c r="T111" s="160" t="n"/>
      <c r="U111" s="160" t="n"/>
      <c r="V111" s="144" t="n"/>
    </row>
    <row r="112">
      <c r="A112" s="248" t="inlineStr">
        <is>
          <t>Sin TM / 0 min</t>
        </is>
      </c>
      <c r="B112" s="160" t="n"/>
      <c r="C112" s="144" t="n"/>
      <c r="D112" s="227" t="inlineStr">
        <is>
          <t>1-60 min (Leve)</t>
        </is>
      </c>
      <c r="E112" s="160" t="n"/>
      <c r="F112" s="144" t="n"/>
      <c r="G112" s="187" t="inlineStr">
        <is>
          <t>61-240 min (Atención)</t>
        </is>
      </c>
      <c r="H112" s="160" t="n"/>
      <c r="I112" s="144" t="n"/>
      <c r="J112" s="206" t="inlineStr">
        <is>
          <t>&gt;240 min (Crítico)</t>
        </is>
      </c>
      <c r="K112" s="160" t="n"/>
      <c r="L112" s="144" t="n"/>
      <c r="M112" s="220" t="inlineStr">
        <is>
          <t>Mantención</t>
        </is>
      </c>
      <c r="N112" s="160" t="n"/>
      <c r="O112" s="144" t="n"/>
      <c r="P112" s="221" t="inlineStr">
        <is>
          <t>Operacional</t>
        </is>
      </c>
      <c r="Q112" s="160" t="n"/>
      <c r="R112" s="144" t="n"/>
      <c r="S112" s="197" t="inlineStr">
        <is>
          <t>Proceso</t>
        </is>
      </c>
      <c r="T112" s="160" t="n"/>
      <c r="U112" s="160" t="n"/>
      <c r="V112" s="144" t="n"/>
    </row>
  </sheetData>
  <mergeCells count="761">
    <mergeCell ref="G112:I112"/>
    <mergeCell ref="C15:D15"/>
    <mergeCell ref="R67:S67"/>
    <mergeCell ref="K33:L33"/>
    <mergeCell ref="J59:K59"/>
    <mergeCell ref="P69:Q69"/>
    <mergeCell ref="A4:V4"/>
    <mergeCell ref="F109:H109"/>
    <mergeCell ref="R69:S69"/>
    <mergeCell ref="K35:L35"/>
    <mergeCell ref="M35:N35"/>
    <mergeCell ref="A44:V44"/>
    <mergeCell ref="O109:Q109"/>
    <mergeCell ref="M10:N10"/>
    <mergeCell ref="O32:P32"/>
    <mergeCell ref="L100:N100"/>
    <mergeCell ref="O26:P26"/>
    <mergeCell ref="Q26:R26"/>
    <mergeCell ref="F70:G70"/>
    <mergeCell ref="O40:P40"/>
    <mergeCell ref="L108:N108"/>
    <mergeCell ref="O27:P27"/>
    <mergeCell ref="L95:N95"/>
    <mergeCell ref="Q27:R27"/>
    <mergeCell ref="T57:V57"/>
    <mergeCell ref="F71:G71"/>
    <mergeCell ref="U83:V83"/>
    <mergeCell ref="L103:N103"/>
    <mergeCell ref="C74:E74"/>
    <mergeCell ref="L97:N97"/>
    <mergeCell ref="H62:I62"/>
    <mergeCell ref="J62:K62"/>
    <mergeCell ref="K28:L28"/>
    <mergeCell ref="R88:T88"/>
    <mergeCell ref="C28:D28"/>
    <mergeCell ref="U85:V85"/>
    <mergeCell ref="I100:K100"/>
    <mergeCell ref="T58:V58"/>
    <mergeCell ref="C103:E103"/>
    <mergeCell ref="I30:J30"/>
    <mergeCell ref="T54:V54"/>
    <mergeCell ref="K30:L30"/>
    <mergeCell ref="C94:E94"/>
    <mergeCell ref="U78:V78"/>
    <mergeCell ref="C30:D30"/>
    <mergeCell ref="R90:T90"/>
    <mergeCell ref="I46:J46"/>
    <mergeCell ref="Q37:R37"/>
    <mergeCell ref="I102:K102"/>
    <mergeCell ref="J57:K57"/>
    <mergeCell ref="L57:M57"/>
    <mergeCell ref="S5:V5"/>
    <mergeCell ref="E48:F48"/>
    <mergeCell ref="U80:V80"/>
    <mergeCell ref="M6:O6"/>
    <mergeCell ref="O45:P45"/>
    <mergeCell ref="G48:H48"/>
    <mergeCell ref="O95:Q95"/>
    <mergeCell ref="O89:Q89"/>
    <mergeCell ref="Q38:R38"/>
    <mergeCell ref="I41:J41"/>
    <mergeCell ref="K41:L41"/>
    <mergeCell ref="T60:V60"/>
    <mergeCell ref="F66:G66"/>
    <mergeCell ref="M13:N13"/>
    <mergeCell ref="Q40:R40"/>
    <mergeCell ref="D5:F5"/>
    <mergeCell ref="Q15:R15"/>
    <mergeCell ref="C87:E87"/>
    <mergeCell ref="C89:E89"/>
    <mergeCell ref="R72:S72"/>
    <mergeCell ref="E16:F16"/>
    <mergeCell ref="J112:L112"/>
    <mergeCell ref="G16:H16"/>
    <mergeCell ref="R84:T84"/>
    <mergeCell ref="C88:E88"/>
    <mergeCell ref="R78:T78"/>
    <mergeCell ref="C18:D18"/>
    <mergeCell ref="G9:H9"/>
    <mergeCell ref="L78:N78"/>
    <mergeCell ref="E18:F18"/>
    <mergeCell ref="I9:J9"/>
    <mergeCell ref="L70:M70"/>
    <mergeCell ref="C34:D34"/>
    <mergeCell ref="N70:O70"/>
    <mergeCell ref="F73:G73"/>
    <mergeCell ref="K25:L25"/>
    <mergeCell ref="R80:T80"/>
    <mergeCell ref="A49:B49"/>
    <mergeCell ref="G11:H11"/>
    <mergeCell ref="I11:J11"/>
    <mergeCell ref="U84:V84"/>
    <mergeCell ref="T73:V73"/>
    <mergeCell ref="K29:L29"/>
    <mergeCell ref="C29:D29"/>
    <mergeCell ref="U86:V86"/>
    <mergeCell ref="E29:F29"/>
    <mergeCell ref="F105:H105"/>
    <mergeCell ref="K31:L31"/>
    <mergeCell ref="C31:D31"/>
    <mergeCell ref="M31:N31"/>
    <mergeCell ref="E31:F31"/>
    <mergeCell ref="F107:H107"/>
    <mergeCell ref="F82:H82"/>
    <mergeCell ref="L58:M58"/>
    <mergeCell ref="R93:T93"/>
    <mergeCell ref="O46:P46"/>
    <mergeCell ref="Q46:R46"/>
    <mergeCell ref="O96:Q96"/>
    <mergeCell ref="L60:M60"/>
    <mergeCell ref="M26:N26"/>
    <mergeCell ref="N60:O60"/>
    <mergeCell ref="O48:P48"/>
    <mergeCell ref="Q48:R48"/>
    <mergeCell ref="O98:Q98"/>
    <mergeCell ref="Q41:R41"/>
    <mergeCell ref="D6:F6"/>
    <mergeCell ref="C49:D49"/>
    <mergeCell ref="F69:G69"/>
    <mergeCell ref="C24:D24"/>
    <mergeCell ref="E24:F24"/>
    <mergeCell ref="O10:P10"/>
    <mergeCell ref="C42:D42"/>
    <mergeCell ref="U99:V99"/>
    <mergeCell ref="E42:F42"/>
    <mergeCell ref="R86:T86"/>
    <mergeCell ref="C90:E90"/>
    <mergeCell ref="E17:F17"/>
    <mergeCell ref="C26:D26"/>
    <mergeCell ref="G17:H17"/>
    <mergeCell ref="U101:V101"/>
    <mergeCell ref="E19:F19"/>
    <mergeCell ref="G19:H19"/>
    <mergeCell ref="L71:M71"/>
    <mergeCell ref="I83:K83"/>
    <mergeCell ref="R106:T106"/>
    <mergeCell ref="N71:O71"/>
    <mergeCell ref="A77:V77"/>
    <mergeCell ref="J55:K55"/>
    <mergeCell ref="R81:T81"/>
    <mergeCell ref="O91:Q91"/>
    <mergeCell ref="L55:M55"/>
    <mergeCell ref="O82:Q82"/>
    <mergeCell ref="Q34:R34"/>
    <mergeCell ref="I12:J12"/>
    <mergeCell ref="L73:M73"/>
    <mergeCell ref="K12:L12"/>
    <mergeCell ref="N73:O73"/>
    <mergeCell ref="M28:N28"/>
    <mergeCell ref="F88:H88"/>
    <mergeCell ref="G14:H14"/>
    <mergeCell ref="Q36:R36"/>
    <mergeCell ref="I39:J39"/>
    <mergeCell ref="I14:J14"/>
    <mergeCell ref="K39:L39"/>
    <mergeCell ref="K14:L14"/>
    <mergeCell ref="C39:D39"/>
    <mergeCell ref="U92:V92"/>
    <mergeCell ref="F67:G67"/>
    <mergeCell ref="O86:Q86"/>
    <mergeCell ref="C108:E108"/>
    <mergeCell ref="M32:N32"/>
    <mergeCell ref="C37:D37"/>
    <mergeCell ref="U94:V94"/>
    <mergeCell ref="E37:F37"/>
    <mergeCell ref="F83:H83"/>
    <mergeCell ref="E47:F47"/>
    <mergeCell ref="T63:V63"/>
    <mergeCell ref="C109:E109"/>
    <mergeCell ref="R99:T99"/>
    <mergeCell ref="F85:H85"/>
    <mergeCell ref="T71:V71"/>
    <mergeCell ref="L66:M66"/>
    <mergeCell ref="R101:T101"/>
    <mergeCell ref="N66:O66"/>
    <mergeCell ref="L53:M53"/>
    <mergeCell ref="A70:B70"/>
    <mergeCell ref="N53:O53"/>
    <mergeCell ref="U105:V105"/>
    <mergeCell ref="R100:T100"/>
    <mergeCell ref="J68:K68"/>
    <mergeCell ref="O104:Q104"/>
    <mergeCell ref="L68:M68"/>
    <mergeCell ref="C71:E71"/>
    <mergeCell ref="P59:Q59"/>
    <mergeCell ref="N68:O68"/>
    <mergeCell ref="I25:J25"/>
    <mergeCell ref="I79:K79"/>
    <mergeCell ref="U107:V107"/>
    <mergeCell ref="T66:V66"/>
    <mergeCell ref="A74:B74"/>
    <mergeCell ref="N61:O61"/>
    <mergeCell ref="P61:Q61"/>
    <mergeCell ref="M16:N16"/>
    <mergeCell ref="S49:T49"/>
    <mergeCell ref="U100:V100"/>
    <mergeCell ref="O16:P16"/>
    <mergeCell ref="F72:G72"/>
    <mergeCell ref="C27:D27"/>
    <mergeCell ref="H72:I72"/>
    <mergeCell ref="R54:S54"/>
    <mergeCell ref="E27:F27"/>
    <mergeCell ref="M18:N18"/>
    <mergeCell ref="Q9:R9"/>
    <mergeCell ref="M45:N45"/>
    <mergeCell ref="U102:V102"/>
    <mergeCell ref="F78:H78"/>
    <mergeCell ref="O101:Q101"/>
    <mergeCell ref="M17:N17"/>
    <mergeCell ref="G20:H20"/>
    <mergeCell ref="O17:P17"/>
    <mergeCell ref="R56:S56"/>
    <mergeCell ref="O11:P11"/>
    <mergeCell ref="Q17:R17"/>
    <mergeCell ref="I20:J20"/>
    <mergeCell ref="Q11:R11"/>
    <mergeCell ref="M47:N47"/>
    <mergeCell ref="A6:C6"/>
    <mergeCell ref="M5:O5"/>
    <mergeCell ref="S112:V112"/>
    <mergeCell ref="O83:Q83"/>
    <mergeCell ref="M19:N19"/>
    <mergeCell ref="E22:F22"/>
    <mergeCell ref="I13:J13"/>
    <mergeCell ref="G22:H22"/>
    <mergeCell ref="K13:L13"/>
    <mergeCell ref="L87:N87"/>
    <mergeCell ref="C99:E99"/>
    <mergeCell ref="B54:F54"/>
    <mergeCell ref="Q12:R12"/>
    <mergeCell ref="I15:J15"/>
    <mergeCell ref="H54:I54"/>
    <mergeCell ref="K15:L15"/>
    <mergeCell ref="L89:N89"/>
    <mergeCell ref="A45:B45"/>
    <mergeCell ref="C45:D45"/>
    <mergeCell ref="L88:N88"/>
    <mergeCell ref="R59:S59"/>
    <mergeCell ref="I92:K92"/>
    <mergeCell ref="B56:F56"/>
    <mergeCell ref="Q39:R39"/>
    <mergeCell ref="F91:H91"/>
    <mergeCell ref="U108:V108"/>
    <mergeCell ref="H56:I56"/>
    <mergeCell ref="U95:V95"/>
    <mergeCell ref="E38:F38"/>
    <mergeCell ref="C47:D47"/>
    <mergeCell ref="A5:C5"/>
    <mergeCell ref="G38:H38"/>
    <mergeCell ref="F93:H93"/>
    <mergeCell ref="A46:B46"/>
    <mergeCell ref="C40:D40"/>
    <mergeCell ref="U97:V97"/>
    <mergeCell ref="E40:F40"/>
    <mergeCell ref="B57:F57"/>
    <mergeCell ref="U47:V47"/>
    <mergeCell ref="R102:T102"/>
    <mergeCell ref="N67:O67"/>
    <mergeCell ref="A71:B71"/>
    <mergeCell ref="G33:H33"/>
    <mergeCell ref="I33:J33"/>
    <mergeCell ref="O78:Q78"/>
    <mergeCell ref="M41:N41"/>
    <mergeCell ref="I81:K81"/>
    <mergeCell ref="L69:M69"/>
    <mergeCell ref="O105:Q105"/>
    <mergeCell ref="N69:O69"/>
    <mergeCell ref="I105:K105"/>
    <mergeCell ref="G35:H35"/>
    <mergeCell ref="M24:N24"/>
    <mergeCell ref="I35:J35"/>
    <mergeCell ref="R103:T103"/>
    <mergeCell ref="I10:J10"/>
    <mergeCell ref="O107:Q107"/>
    <mergeCell ref="K10:L10"/>
    <mergeCell ref="P62:Q62"/>
    <mergeCell ref="I101:K101"/>
    <mergeCell ref="F86:H86"/>
    <mergeCell ref="F104:H104"/>
    <mergeCell ref="B62:F62"/>
    <mergeCell ref="O19:P19"/>
    <mergeCell ref="F79:H79"/>
    <mergeCell ref="R57:S57"/>
    <mergeCell ref="F106:H106"/>
    <mergeCell ref="H58:I58"/>
    <mergeCell ref="M48:N48"/>
    <mergeCell ref="U45:V45"/>
    <mergeCell ref="F81:H81"/>
    <mergeCell ref="H73:I73"/>
    <mergeCell ref="O20:P20"/>
    <mergeCell ref="Q20:R20"/>
    <mergeCell ref="A111:V111"/>
    <mergeCell ref="H60:I60"/>
    <mergeCell ref="Q14:R14"/>
    <mergeCell ref="P67:Q67"/>
    <mergeCell ref="C67:E67"/>
    <mergeCell ref="L96:N96"/>
    <mergeCell ref="O22:P22"/>
    <mergeCell ref="L90:N90"/>
    <mergeCell ref="I21:J21"/>
    <mergeCell ref="I94:K94"/>
    <mergeCell ref="C46:D46"/>
    <mergeCell ref="C21:D21"/>
    <mergeCell ref="U103:V103"/>
    <mergeCell ref="E46:F46"/>
    <mergeCell ref="M37:N37"/>
    <mergeCell ref="C69:E69"/>
    <mergeCell ref="C96:E96"/>
    <mergeCell ref="H57:I57"/>
    <mergeCell ref="I23:J23"/>
    <mergeCell ref="K23:L23"/>
    <mergeCell ref="C48:D48"/>
    <mergeCell ref="C23:D23"/>
    <mergeCell ref="O47:P47"/>
    <mergeCell ref="I108:K108"/>
    <mergeCell ref="L91:N91"/>
    <mergeCell ref="R62:S62"/>
    <mergeCell ref="I95:K95"/>
    <mergeCell ref="I89:K89"/>
    <mergeCell ref="C98:E98"/>
    <mergeCell ref="F99:H99"/>
    <mergeCell ref="U98:V98"/>
    <mergeCell ref="E41:F41"/>
    <mergeCell ref="M38:N38"/>
    <mergeCell ref="G41:H41"/>
    <mergeCell ref="O38:P38"/>
    <mergeCell ref="B63:F63"/>
    <mergeCell ref="S6:V6"/>
    <mergeCell ref="K18:L18"/>
    <mergeCell ref="I34:J34"/>
    <mergeCell ref="K34:L34"/>
    <mergeCell ref="Q25:R25"/>
    <mergeCell ref="C93:E93"/>
    <mergeCell ref="F94:H94"/>
    <mergeCell ref="I49:J49"/>
    <mergeCell ref="O33:P33"/>
    <mergeCell ref="G36:H36"/>
    <mergeCell ref="Q33:R33"/>
    <mergeCell ref="I36:J36"/>
    <mergeCell ref="K36:L36"/>
    <mergeCell ref="N72:O72"/>
    <mergeCell ref="D112:F112"/>
    <mergeCell ref="L109:N109"/>
    <mergeCell ref="P72:Q72"/>
    <mergeCell ref="C16:D16"/>
    <mergeCell ref="L84:N84"/>
    <mergeCell ref="Q10:R10"/>
    <mergeCell ref="C9:D9"/>
    <mergeCell ref="C82:E82"/>
    <mergeCell ref="E9:F9"/>
    <mergeCell ref="H70:I70"/>
    <mergeCell ref="J70:K70"/>
    <mergeCell ref="L80:N80"/>
    <mergeCell ref="C11:D11"/>
    <mergeCell ref="E11:F11"/>
    <mergeCell ref="J63:K63"/>
    <mergeCell ref="A47:B47"/>
    <mergeCell ref="L63:M63"/>
    <mergeCell ref="Q22:R22"/>
    <mergeCell ref="C86:E86"/>
    <mergeCell ref="C83:E83"/>
    <mergeCell ref="G29:H29"/>
    <mergeCell ref="L98:N98"/>
    <mergeCell ref="I29:J29"/>
    <mergeCell ref="B55:F55"/>
    <mergeCell ref="O92:Q92"/>
    <mergeCell ref="G31:H31"/>
    <mergeCell ref="T53:V53"/>
    <mergeCell ref="I31:J31"/>
    <mergeCell ref="U79:V79"/>
    <mergeCell ref="L106:N106"/>
    <mergeCell ref="K49:L49"/>
    <mergeCell ref="T68:V68"/>
    <mergeCell ref="L93:N93"/>
    <mergeCell ref="I103:K103"/>
    <mergeCell ref="Q21:R21"/>
    <mergeCell ref="I97:K97"/>
    <mergeCell ref="T55:V55"/>
    <mergeCell ref="K24:L24"/>
    <mergeCell ref="A73:B73"/>
    <mergeCell ref="U81:V81"/>
    <mergeCell ref="I96:K96"/>
    <mergeCell ref="F100:H100"/>
    <mergeCell ref="I26:J26"/>
    <mergeCell ref="B58:F58"/>
    <mergeCell ref="J60:K60"/>
    <mergeCell ref="K26:L26"/>
    <mergeCell ref="I98:K98"/>
    <mergeCell ref="F102:H102"/>
    <mergeCell ref="J53:K53"/>
    <mergeCell ref="B60:F60"/>
    <mergeCell ref="O41:P41"/>
    <mergeCell ref="O35:P35"/>
    <mergeCell ref="Q35:R35"/>
    <mergeCell ref="R55:S55"/>
    <mergeCell ref="B53:F53"/>
    <mergeCell ref="O85:Q85"/>
    <mergeCell ref="P5:R5"/>
    <mergeCell ref="I42:J42"/>
    <mergeCell ref="A42:B42"/>
    <mergeCell ref="K42:L42"/>
    <mergeCell ref="C101:E101"/>
    <mergeCell ref="Q49:R49"/>
    <mergeCell ref="C17:D17"/>
    <mergeCell ref="Q30:R30"/>
    <mergeCell ref="R79:T79"/>
    <mergeCell ref="A68:B68"/>
    <mergeCell ref="C19:D19"/>
    <mergeCell ref="H71:I71"/>
    <mergeCell ref="P58:Q58"/>
    <mergeCell ref="J71:K71"/>
    <mergeCell ref="K37:L37"/>
    <mergeCell ref="R58:S58"/>
    <mergeCell ref="J58:K58"/>
    <mergeCell ref="C85:E85"/>
    <mergeCell ref="P73:Q73"/>
    <mergeCell ref="E12:F12"/>
    <mergeCell ref="A48:B48"/>
    <mergeCell ref="R73:S73"/>
    <mergeCell ref="G12:H12"/>
    <mergeCell ref="J73:K73"/>
    <mergeCell ref="R60:S60"/>
    <mergeCell ref="C84:E84"/>
    <mergeCell ref="O84:Q84"/>
    <mergeCell ref="C14:D14"/>
    <mergeCell ref="T74:V74"/>
    <mergeCell ref="E14:F14"/>
    <mergeCell ref="K21:L21"/>
    <mergeCell ref="O80:Q80"/>
    <mergeCell ref="O29:P29"/>
    <mergeCell ref="Q29:R29"/>
    <mergeCell ref="I32:J32"/>
    <mergeCell ref="Q23:R23"/>
    <mergeCell ref="K32:L32"/>
    <mergeCell ref="O79:Q79"/>
    <mergeCell ref="T69:V69"/>
    <mergeCell ref="L105:N105"/>
    <mergeCell ref="O31:P31"/>
    <mergeCell ref="L99:N99"/>
    <mergeCell ref="Q31:R31"/>
    <mergeCell ref="U87:V87"/>
    <mergeCell ref="O81:Q81"/>
    <mergeCell ref="K27:L27"/>
    <mergeCell ref="M27:N27"/>
    <mergeCell ref="R92:T92"/>
    <mergeCell ref="U89:V89"/>
    <mergeCell ref="F103:H103"/>
    <mergeCell ref="J5:L5"/>
    <mergeCell ref="C104:E104"/>
    <mergeCell ref="L59:M59"/>
    <mergeCell ref="R94:T94"/>
    <mergeCell ref="U82:V82"/>
    <mergeCell ref="E25:F25"/>
    <mergeCell ref="G25:H25"/>
    <mergeCell ref="C79:E79"/>
    <mergeCell ref="C73:E73"/>
    <mergeCell ref="J61:K61"/>
    <mergeCell ref="R87:T87"/>
    <mergeCell ref="L61:M61"/>
    <mergeCell ref="P6:R6"/>
    <mergeCell ref="K16:L16"/>
    <mergeCell ref="J6:L6"/>
    <mergeCell ref="T62:V62"/>
    <mergeCell ref="T59:V59"/>
    <mergeCell ref="O99:Q99"/>
    <mergeCell ref="R89:T89"/>
    <mergeCell ref="N54:O54"/>
    <mergeCell ref="K9:L9"/>
    <mergeCell ref="I45:J45"/>
    <mergeCell ref="M9:N9"/>
    <mergeCell ref="Q42:R42"/>
    <mergeCell ref="O9:P9"/>
    <mergeCell ref="K45:L45"/>
    <mergeCell ref="A69:B69"/>
    <mergeCell ref="C20:D20"/>
    <mergeCell ref="N56:O56"/>
    <mergeCell ref="K11:L11"/>
    <mergeCell ref="E20:F20"/>
    <mergeCell ref="P56:Q56"/>
    <mergeCell ref="I47:J47"/>
    <mergeCell ref="M11:N11"/>
    <mergeCell ref="G5:I5"/>
    <mergeCell ref="K47:L47"/>
    <mergeCell ref="O94:Q94"/>
    <mergeCell ref="E13:F13"/>
    <mergeCell ref="C22:D22"/>
    <mergeCell ref="R74:S74"/>
    <mergeCell ref="G13:H13"/>
    <mergeCell ref="K46:L46"/>
    <mergeCell ref="J74:K74"/>
    <mergeCell ref="K40:L40"/>
    <mergeCell ref="L74:M74"/>
    <mergeCell ref="M40:N40"/>
    <mergeCell ref="C72:E72"/>
    <mergeCell ref="M15:N15"/>
    <mergeCell ref="E15:F15"/>
    <mergeCell ref="M12:N12"/>
    <mergeCell ref="A1:V1"/>
    <mergeCell ref="G15:H15"/>
    <mergeCell ref="M112:O112"/>
    <mergeCell ref="T67:V67"/>
    <mergeCell ref="O106:Q106"/>
    <mergeCell ref="C92:E92"/>
    <mergeCell ref="N59:O59"/>
    <mergeCell ref="A65:V65"/>
    <mergeCell ref="L82:N82"/>
    <mergeCell ref="C38:D38"/>
    <mergeCell ref="Q45:R45"/>
    <mergeCell ref="F84:H84"/>
    <mergeCell ref="Q32:R32"/>
    <mergeCell ref="U88:V88"/>
    <mergeCell ref="A67:B67"/>
    <mergeCell ref="Q47:R47"/>
    <mergeCell ref="P54:Q54"/>
    <mergeCell ref="H67:I67"/>
    <mergeCell ref="J67:K67"/>
    <mergeCell ref="F80:H80"/>
    <mergeCell ref="L67:M67"/>
    <mergeCell ref="C33:D33"/>
    <mergeCell ref="U90:V90"/>
    <mergeCell ref="E33:F33"/>
    <mergeCell ref="C105:E105"/>
    <mergeCell ref="J69:K69"/>
    <mergeCell ref="R95:T95"/>
    <mergeCell ref="C35:D35"/>
    <mergeCell ref="E35:F35"/>
    <mergeCell ref="I107:K107"/>
    <mergeCell ref="C10:D10"/>
    <mergeCell ref="E10:F10"/>
    <mergeCell ref="T61:V61"/>
    <mergeCell ref="G10:H10"/>
    <mergeCell ref="L62:M62"/>
    <mergeCell ref="R97:T97"/>
    <mergeCell ref="N62:O62"/>
    <mergeCell ref="E28:F28"/>
    <mergeCell ref="A66:B66"/>
    <mergeCell ref="G28:H28"/>
    <mergeCell ref="I28:J28"/>
    <mergeCell ref="T72:V72"/>
    <mergeCell ref="R96:T96"/>
    <mergeCell ref="O100:Q100"/>
    <mergeCell ref="M30:N30"/>
    <mergeCell ref="E30:F30"/>
    <mergeCell ref="G30:H30"/>
    <mergeCell ref="M46:N46"/>
    <mergeCell ref="R98:T98"/>
    <mergeCell ref="O102:Q102"/>
    <mergeCell ref="N57:O57"/>
    <mergeCell ref="P57:Q57"/>
    <mergeCell ref="I48:J48"/>
    <mergeCell ref="S45:T45"/>
    <mergeCell ref="O12:P12"/>
    <mergeCell ref="K48:L48"/>
    <mergeCell ref="A72:B72"/>
    <mergeCell ref="M14:N14"/>
    <mergeCell ref="O14:P14"/>
    <mergeCell ref="O97:Q97"/>
    <mergeCell ref="C100:E100"/>
    <mergeCell ref="E21:F21"/>
    <mergeCell ref="O13:P13"/>
    <mergeCell ref="Q13:R13"/>
    <mergeCell ref="G21:H21"/>
    <mergeCell ref="H53:I53"/>
    <mergeCell ref="R108:T108"/>
    <mergeCell ref="C80:E80"/>
    <mergeCell ref="R83:T83"/>
    <mergeCell ref="F68:G68"/>
    <mergeCell ref="O15:P15"/>
    <mergeCell ref="E23:F23"/>
    <mergeCell ref="L83:N83"/>
    <mergeCell ref="G23:H23"/>
    <mergeCell ref="H55:I55"/>
    <mergeCell ref="I87:K87"/>
    <mergeCell ref="U96:V96"/>
    <mergeCell ref="R91:T91"/>
    <mergeCell ref="C95:E95"/>
    <mergeCell ref="R85:T85"/>
    <mergeCell ref="R109:T109"/>
    <mergeCell ref="L85:N85"/>
    <mergeCell ref="I16:J16"/>
    <mergeCell ref="A41:B41"/>
    <mergeCell ref="C41:D41"/>
    <mergeCell ref="I88:K88"/>
    <mergeCell ref="G18:H18"/>
    <mergeCell ref="I82:K82"/>
    <mergeCell ref="C91:E91"/>
    <mergeCell ref="I18:J18"/>
    <mergeCell ref="F92:H92"/>
    <mergeCell ref="U91:V91"/>
    <mergeCell ref="E34:F34"/>
    <mergeCell ref="P70:Q70"/>
    <mergeCell ref="M25:N25"/>
    <mergeCell ref="G34:H34"/>
    <mergeCell ref="R70:S70"/>
    <mergeCell ref="O25:P25"/>
    <mergeCell ref="O90:Q90"/>
    <mergeCell ref="U106:V106"/>
    <mergeCell ref="E49:F49"/>
    <mergeCell ref="M36:N36"/>
    <mergeCell ref="C36:D36"/>
    <mergeCell ref="U93:V93"/>
    <mergeCell ref="M33:N33"/>
    <mergeCell ref="E36:F36"/>
    <mergeCell ref="F87:H87"/>
    <mergeCell ref="L72:M72"/>
    <mergeCell ref="F89:H89"/>
    <mergeCell ref="A2:V2"/>
    <mergeCell ref="S47:T47"/>
    <mergeCell ref="U109:V109"/>
    <mergeCell ref="O103:Q103"/>
    <mergeCell ref="R104:T104"/>
    <mergeCell ref="G6:I6"/>
    <mergeCell ref="N63:O63"/>
    <mergeCell ref="P63:Q63"/>
    <mergeCell ref="S46:T46"/>
    <mergeCell ref="H63:I63"/>
    <mergeCell ref="R63:S63"/>
    <mergeCell ref="U46:V46"/>
    <mergeCell ref="F101:H101"/>
    <mergeCell ref="G40:H40"/>
    <mergeCell ref="F74:G74"/>
    <mergeCell ref="P60:Q60"/>
    <mergeCell ref="H74:I74"/>
    <mergeCell ref="H68:I68"/>
    <mergeCell ref="S48:T48"/>
    <mergeCell ref="U48:V48"/>
    <mergeCell ref="U104:V104"/>
    <mergeCell ref="C70:E70"/>
    <mergeCell ref="C106:E106"/>
    <mergeCell ref="I78:K78"/>
    <mergeCell ref="C81:E81"/>
    <mergeCell ref="G49:H49"/>
    <mergeCell ref="H69:I69"/>
    <mergeCell ref="M21:N21"/>
    <mergeCell ref="G24:H24"/>
    <mergeCell ref="O21:P21"/>
    <mergeCell ref="I24:J24"/>
    <mergeCell ref="L86:N86"/>
    <mergeCell ref="O87:Q87"/>
    <mergeCell ref="E26:F26"/>
    <mergeCell ref="I90:K90"/>
    <mergeCell ref="I17:J17"/>
    <mergeCell ref="G26:H26"/>
    <mergeCell ref="K17:L17"/>
    <mergeCell ref="L101:N101"/>
    <mergeCell ref="I19:J19"/>
    <mergeCell ref="K19:L19"/>
    <mergeCell ref="P71:Q71"/>
    <mergeCell ref="R71:S71"/>
    <mergeCell ref="N55:O55"/>
    <mergeCell ref="I91:K91"/>
    <mergeCell ref="P55:Q55"/>
    <mergeCell ref="F95:H95"/>
    <mergeCell ref="I85:K85"/>
    <mergeCell ref="M34:N34"/>
    <mergeCell ref="O34:P34"/>
    <mergeCell ref="O93:Q93"/>
    <mergeCell ref="G42:H42"/>
    <mergeCell ref="B59:F59"/>
    <mergeCell ref="A8:V8"/>
    <mergeCell ref="Q28:R28"/>
    <mergeCell ref="I93:K93"/>
    <mergeCell ref="U49:V49"/>
    <mergeCell ref="O28:P28"/>
    <mergeCell ref="F97:H97"/>
    <mergeCell ref="M49:N49"/>
    <mergeCell ref="M39:N39"/>
    <mergeCell ref="E39:F39"/>
    <mergeCell ref="O39:P39"/>
    <mergeCell ref="O36:P36"/>
    <mergeCell ref="G39:H39"/>
    <mergeCell ref="L104:N104"/>
    <mergeCell ref="O30:P30"/>
    <mergeCell ref="F90:H90"/>
    <mergeCell ref="P112:R112"/>
    <mergeCell ref="L79:N79"/>
    <mergeCell ref="T70:V70"/>
    <mergeCell ref="G37:H37"/>
    <mergeCell ref="N58:O58"/>
    <mergeCell ref="I37:J37"/>
    <mergeCell ref="T56:V56"/>
    <mergeCell ref="R105:T105"/>
    <mergeCell ref="L81:N81"/>
    <mergeCell ref="A112:C112"/>
    <mergeCell ref="I109:K109"/>
    <mergeCell ref="C12:D12"/>
    <mergeCell ref="I84:K84"/>
    <mergeCell ref="R107:T107"/>
    <mergeCell ref="C78:E78"/>
    <mergeCell ref="P66:Q66"/>
    <mergeCell ref="H66:I66"/>
    <mergeCell ref="R66:S66"/>
    <mergeCell ref="J66:K66"/>
    <mergeCell ref="P53:Q53"/>
    <mergeCell ref="R53:S53"/>
    <mergeCell ref="I86:K86"/>
    <mergeCell ref="I80:K80"/>
    <mergeCell ref="C32:D32"/>
    <mergeCell ref="I104:K104"/>
    <mergeCell ref="E32:F32"/>
    <mergeCell ref="F108:H108"/>
    <mergeCell ref="M29:N29"/>
    <mergeCell ref="P68:Q68"/>
    <mergeCell ref="R68:S68"/>
    <mergeCell ref="G32:H32"/>
    <mergeCell ref="O23:P23"/>
    <mergeCell ref="C107:E107"/>
    <mergeCell ref="M23:N23"/>
    <mergeCell ref="O108:Q108"/>
    <mergeCell ref="I106:K106"/>
    <mergeCell ref="R61:S61"/>
    <mergeCell ref="Q16:R16"/>
    <mergeCell ref="J72:K72"/>
    <mergeCell ref="O88:Q88"/>
    <mergeCell ref="L92:N92"/>
    <mergeCell ref="G27:H27"/>
    <mergeCell ref="O24:P24"/>
    <mergeCell ref="I27:J27"/>
    <mergeCell ref="O18:P18"/>
    <mergeCell ref="Q24:R24"/>
    <mergeCell ref="Q18:R18"/>
    <mergeCell ref="L102:N102"/>
    <mergeCell ref="A52:V52"/>
    <mergeCell ref="L94:N94"/>
    <mergeCell ref="H59:I59"/>
    <mergeCell ref="K20:L20"/>
    <mergeCell ref="M20:N20"/>
    <mergeCell ref="O49:P49"/>
    <mergeCell ref="C25:D25"/>
    <mergeCell ref="F96:H96"/>
    <mergeCell ref="B61:F61"/>
    <mergeCell ref="I22:J22"/>
    <mergeCell ref="Q19:R19"/>
    <mergeCell ref="H61:I61"/>
    <mergeCell ref="K22:L22"/>
    <mergeCell ref="M22:N22"/>
    <mergeCell ref="C66:E66"/>
    <mergeCell ref="I99:K99"/>
    <mergeCell ref="F98:H98"/>
    <mergeCell ref="C102:E102"/>
    <mergeCell ref="J54:K54"/>
    <mergeCell ref="L54:M54"/>
    <mergeCell ref="M42:N42"/>
    <mergeCell ref="E45:F45"/>
    <mergeCell ref="O42:P42"/>
    <mergeCell ref="G45:H45"/>
    <mergeCell ref="C68:E68"/>
    <mergeCell ref="J56:K56"/>
    <mergeCell ref="R82:T82"/>
    <mergeCell ref="L56:M56"/>
    <mergeCell ref="L107:N107"/>
    <mergeCell ref="I38:J38"/>
    <mergeCell ref="G47:H47"/>
    <mergeCell ref="K38:L38"/>
    <mergeCell ref="C97:E97"/>
    <mergeCell ref="N74:O74"/>
    <mergeCell ref="C13:D13"/>
    <mergeCell ref="G46:H46"/>
    <mergeCell ref="P74:Q74"/>
    <mergeCell ref="O37:P37"/>
    <mergeCell ref="I40:J40"/>
  </mergeCells>
  <conditionalFormatting sqref="C10:C40">
    <cfRule type="cellIs" priority="5" operator="equal" dxfId="9">
      <formula>0</formula>
    </cfRule>
    <cfRule type="cellIs" priority="6" operator="between" dxfId="8">
      <formula>1</formula>
      <formula>60</formula>
    </cfRule>
    <cfRule type="cellIs" priority="7" operator="between" dxfId="4">
      <formula>61</formula>
      <formula>240</formula>
    </cfRule>
    <cfRule type="cellIs" priority="8" operator="greaterThan" dxfId="6">
      <formula>240</formula>
    </cfRule>
  </conditionalFormatting>
  <conditionalFormatting sqref="C79:E109">
    <cfRule type="cellIs" priority="48" operator="between" dxfId="4">
      <formula>121</formula>
      <formula>300</formula>
    </cfRule>
    <cfRule type="cellIs" priority="47" operator="greaterThan" dxfId="6">
      <formula>300</formula>
    </cfRule>
  </conditionalFormatting>
  <conditionalFormatting sqref="E10:E40">
    <cfRule type="cellIs" priority="10" operator="between" dxfId="8">
      <formula>1</formula>
      <formula>60</formula>
    </cfRule>
    <cfRule type="cellIs" priority="11" operator="between" dxfId="4">
      <formula>61</formula>
      <formula>240</formula>
    </cfRule>
    <cfRule type="cellIs" priority="12" operator="greaterThan" dxfId="6">
      <formula>240</formula>
    </cfRule>
    <cfRule type="cellIs" priority="9" operator="equal" dxfId="9">
      <formula>0</formula>
    </cfRule>
  </conditionalFormatting>
  <conditionalFormatting sqref="G10:G40">
    <cfRule type="cellIs" priority="13" operator="equal" dxfId="9">
      <formula>0</formula>
    </cfRule>
    <cfRule type="cellIs" priority="14" operator="between" dxfId="8">
      <formula>1</formula>
      <formula>60</formula>
    </cfRule>
    <cfRule type="cellIs" priority="15" operator="between" dxfId="4">
      <formula>61</formula>
      <formula>240</formula>
    </cfRule>
    <cfRule type="cellIs" priority="16" operator="greaterThan" dxfId="6">
      <formula>240</formula>
    </cfRule>
  </conditionalFormatting>
  <conditionalFormatting sqref="I10:I40">
    <cfRule type="cellIs" priority="17" operator="equal" dxfId="9">
      <formula>0</formula>
    </cfRule>
    <cfRule type="cellIs" priority="18" operator="between" dxfId="8">
      <formula>1</formula>
      <formula>60</formula>
    </cfRule>
    <cfRule type="cellIs" priority="19" operator="between" dxfId="4">
      <formula>61</formula>
      <formula>240</formula>
    </cfRule>
    <cfRule type="cellIs" priority="20" operator="greaterThan" dxfId="6">
      <formula>240</formula>
    </cfRule>
  </conditionalFormatting>
  <conditionalFormatting sqref="K10:K40">
    <cfRule type="cellIs" priority="21" operator="equal" dxfId="9">
      <formula>0</formula>
    </cfRule>
    <cfRule type="cellIs" priority="22" operator="between" dxfId="8">
      <formula>1</formula>
      <formula>60</formula>
    </cfRule>
    <cfRule type="cellIs" priority="23" operator="between" dxfId="4">
      <formula>61</formula>
      <formula>240</formula>
    </cfRule>
    <cfRule type="cellIs" priority="24" operator="greaterThan" dxfId="6">
      <formula>240</formula>
    </cfRule>
  </conditionalFormatting>
  <conditionalFormatting sqref="M10:M40">
    <cfRule type="cellIs" priority="27" operator="between" dxfId="4">
      <formula>61</formula>
      <formula>240</formula>
    </cfRule>
    <cfRule type="cellIs" priority="28" operator="greaterThan" dxfId="6">
      <formula>240</formula>
    </cfRule>
    <cfRule type="cellIs" priority="26" operator="between" dxfId="8">
      <formula>1</formula>
      <formula>60</formula>
    </cfRule>
    <cfRule type="cellIs" priority="25" operator="equal" dxfId="9">
      <formula>0</formula>
    </cfRule>
  </conditionalFormatting>
  <conditionalFormatting sqref="O10:O40">
    <cfRule type="cellIs" priority="29" operator="equal" dxfId="9">
      <formula>0</formula>
    </cfRule>
    <cfRule type="cellIs" priority="30" operator="between" dxfId="8">
      <formula>1</formula>
      <formula>60</formula>
    </cfRule>
    <cfRule type="cellIs" priority="31" operator="between" dxfId="4">
      <formula>61</formula>
      <formula>240</formula>
    </cfRule>
    <cfRule type="cellIs" priority="32" operator="greaterThan" dxfId="6">
      <formula>240</formula>
    </cfRule>
  </conditionalFormatting>
  <conditionalFormatting sqref="Q10:Q40">
    <cfRule type="cellIs" priority="33" operator="equal" dxfId="9">
      <formula>0</formula>
    </cfRule>
    <cfRule type="cellIs" priority="34" operator="between" dxfId="8">
      <formula>1</formula>
      <formula>60</formula>
    </cfRule>
    <cfRule type="cellIs" priority="35" operator="between" dxfId="4">
      <formula>61</formula>
      <formula>240</formula>
    </cfRule>
    <cfRule type="cellIs" priority="36" operator="greaterThan" dxfId="6">
      <formula>240</formula>
    </cfRule>
  </conditionalFormatting>
  <conditionalFormatting sqref="S10:S40">
    <cfRule type="cellIs" priority="37" operator="greaterThan" dxfId="5">
      <formula>720</formula>
    </cfRule>
    <cfRule type="cellIs" priority="38" operator="between" dxfId="4">
      <formula>361</formula>
      <formula>720</formula>
    </cfRule>
  </conditionalFormatting>
  <conditionalFormatting sqref="U79:V109">
    <cfRule type="cellIs" priority="43" operator="equal" dxfId="3">
      <formula>"OK"</formula>
    </cfRule>
    <cfRule type="cellIs" priority="44" operator="equal" dxfId="2">
      <formula>"LEVE"</formula>
    </cfRule>
    <cfRule type="cellIs" priority="45" operator="equal" dxfId="1">
      <formula>"ATENCIÓN"</formula>
    </cfRule>
    <cfRule type="cellIs" priority="46" operator="equal" dxfId="0">
      <formula>"CRÍTICO"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K32"/>
  <sheetViews>
    <sheetView showGridLines="0" zoomScale="190" zoomScaleNormal="190" workbookViewId="0">
      <pane xSplit="1" ySplit="4" topLeftCell="B13" activePane="bottomRight" state="frozen"/>
      <selection pane="topRight" activeCell="A1" sqref="A1:V1"/>
      <selection pane="bottomLeft" activeCell="A1" sqref="A1:V1"/>
      <selection pane="bottomRight" activeCell="A1" sqref="A1:V1"/>
    </sheetView>
  </sheetViews>
  <sheetFormatPr baseColWidth="10" defaultColWidth="8.6640625" defaultRowHeight="15"/>
  <cols>
    <col width="3" customWidth="1" style="150" min="1" max="1"/>
    <col width="22" customWidth="1" style="150" min="2" max="2"/>
    <col width="18" customWidth="1" style="150" min="3" max="4"/>
    <col width="16" customWidth="1" style="150" min="5" max="8"/>
    <col width="3" customWidth="1" style="150" min="9" max="10"/>
  </cols>
  <sheetData>
    <row r="1" ht="30" customHeight="1" s="150">
      <c r="B1" s="258" t="inlineStr">
        <is>
          <t>⚙  CONFIGURACIÓN — PARÁMETROS DEL DASHBOARD</t>
        </is>
      </c>
    </row>
    <row r="2" ht="15.75" customHeight="1" s="150">
      <c r="B2" s="257" t="inlineStr">
        <is>
          <t>Todos los valores en celdas amarillas son modificables manualmente. El resto se calcula automáticamente.</t>
        </is>
      </c>
    </row>
    <row r="3" ht="9.75" customHeight="1" s="150"/>
    <row r="4" ht="19.5" customHeight="1" s="150">
      <c r="B4" s="254" t="inlineStr">
        <is>
          <t>1.  PERÍODO DE CONTROL</t>
        </is>
      </c>
      <c r="C4" s="156" t="n"/>
      <c r="D4" s="156" t="n"/>
      <c r="E4" s="156" t="n"/>
      <c r="F4" s="156" t="n"/>
      <c r="G4" s="156" t="n"/>
      <c r="H4" s="156" t="n"/>
    </row>
    <row r="5" ht="19.5" customHeight="1" s="150">
      <c r="B5" s="97" t="inlineStr">
        <is>
          <t>Mes (nombre)</t>
        </is>
      </c>
      <c r="C5" s="98" t="inlineStr">
        <is>
          <t>Mayo</t>
        </is>
      </c>
      <c r="D5" s="99" t="inlineStr">
        <is>
          <t>automático</t>
        </is>
      </c>
      <c r="E5" s="251" t="inlineStr">
        <is>
          <t>Nombre del mes en español</t>
        </is>
      </c>
      <c r="F5" s="160" t="n"/>
      <c r="G5" s="160" t="n"/>
      <c r="H5" s="144" t="n"/>
    </row>
    <row r="6" ht="19.5" customHeight="1" s="150">
      <c r="B6" s="97" t="inlineStr">
        <is>
          <t>Año</t>
        </is>
      </c>
      <c r="C6" s="98" t="n">
        <v>2026</v>
      </c>
      <c r="D6" s="99" t="inlineStr">
        <is>
          <t>automático</t>
        </is>
      </c>
      <c r="E6" s="251" t="inlineStr">
        <is>
          <t>Año del período</t>
        </is>
      </c>
      <c r="F6" s="160" t="n"/>
      <c r="G6" s="160" t="n"/>
      <c r="H6" s="144" t="n"/>
    </row>
    <row r="7" ht="19.5" customHeight="1" s="150">
      <c r="B7" s="97" t="inlineStr">
        <is>
          <t>Días del mes</t>
        </is>
      </c>
      <c r="C7" s="98">
        <f>DAY(DATE(C6,MATCH(C5,{"Enero","Febrero","Marzo","Abril","Mayo","Junio","Julio","Agosto","Septiembre","Octubre","Noviembre","Diciembre"},0)+1,1)-1)</f>
        <v/>
      </c>
      <c r="D7" s="99" t="inlineStr">
        <is>
          <t>automático</t>
        </is>
      </c>
      <c r="E7" s="251" t="inlineStr">
        <is>
          <t>Total días del mes</t>
        </is>
      </c>
      <c r="F7" s="160" t="n"/>
      <c r="G7" s="160" t="n"/>
      <c r="H7" s="144" t="n"/>
    </row>
    <row r="8" ht="19.5" customHeight="1" s="150">
      <c r="B8" s="97" t="inlineStr">
        <is>
          <t>Horas potenciales/día</t>
        </is>
      </c>
      <c r="C8" s="100" t="n">
        <v>10</v>
      </c>
      <c r="D8" s="99" t="inlineStr">
        <is>
          <t>← editar</t>
        </is>
      </c>
      <c r="E8" s="251" t="inlineStr">
        <is>
          <t>Horas productivas por turno (descontando colación/pausa)</t>
        </is>
      </c>
      <c r="F8" s="160" t="n"/>
      <c r="G8" s="160" t="n"/>
      <c r="H8" s="144" t="n"/>
    </row>
    <row r="9" ht="19.5" customHeight="1" s="150">
      <c r="B9" s="97" t="inlineStr">
        <is>
          <t>Días NO trabajados</t>
        </is>
      </c>
      <c r="C9" s="100" t="n">
        <v>1</v>
      </c>
      <c r="D9" s="99" t="inlineStr">
        <is>
          <t>← editar</t>
        </is>
      </c>
      <c r="E9" s="251" t="inlineStr">
        <is>
          <t>Feriados u otros días sin operación (ingresar número)</t>
        </is>
      </c>
      <c r="F9" s="160" t="n"/>
      <c r="G9" s="160" t="n"/>
      <c r="H9" s="144" t="n"/>
    </row>
    <row r="10" ht="19.5" customHeight="1" s="150">
      <c r="B10" s="97" t="inlineStr">
        <is>
          <t>Días a trabajar</t>
        </is>
      </c>
      <c r="C10" s="98">
        <f>C7-C9</f>
        <v/>
      </c>
      <c r="D10" s="99" t="inlineStr">
        <is>
          <t>automático</t>
        </is>
      </c>
      <c r="E10" s="251" t="n"/>
      <c r="F10" s="160" t="n"/>
      <c r="G10" s="160" t="n"/>
      <c r="H10" s="144" t="n"/>
    </row>
    <row r="11" ht="19.5" customHeight="1" s="150">
      <c r="B11" s="97" t="inlineStr">
        <is>
          <t>Meta mensual TOTAL</t>
        </is>
      </c>
      <c r="C11" s="101">
        <f>E32</f>
        <v/>
      </c>
      <c r="D11" s="99" t="inlineStr">
        <is>
          <t>automático</t>
        </is>
      </c>
      <c r="E11" s="251" t="inlineStr">
        <is>
          <t>Suma automática de metas individuales por equipo</t>
        </is>
      </c>
      <c r="F11" s="160" t="n"/>
      <c r="G11" s="160" t="n"/>
      <c r="H11" s="144" t="n"/>
    </row>
    <row r="12" ht="9.75" customHeight="1" s="150"/>
    <row r="13" ht="19.5" customHeight="1" s="150">
      <c r="B13" s="254" t="inlineStr">
        <is>
          <t>2.  DÍAS NO TRABAJADOS (FERIADOS / DETENCIONES PROGRAMADAS)</t>
        </is>
      </c>
      <c r="C13" s="156" t="n"/>
      <c r="D13" s="156" t="n"/>
      <c r="E13" s="156" t="n"/>
      <c r="F13" s="156" t="n"/>
      <c r="G13" s="156" t="n"/>
      <c r="H13" s="156" t="n"/>
    </row>
    <row r="14" ht="18" customHeight="1" s="150">
      <c r="B14" s="6" t="inlineStr">
        <is>
          <t>Fecha</t>
        </is>
      </c>
      <c r="C14" s="6" t="inlineStr">
        <is>
          <t>Motivo</t>
        </is>
      </c>
      <c r="D14" s="6" t="inlineStr">
        <is>
          <t>Afecta a</t>
        </is>
      </c>
    </row>
    <row r="15" ht="18" customHeight="1" s="150">
      <c r="B15" s="102" t="n"/>
      <c r="C15" s="102" t="n"/>
      <c r="D15" s="102" t="n"/>
      <c r="E15" s="250" t="n"/>
      <c r="F15" s="160" t="n"/>
      <c r="G15" s="160" t="n"/>
      <c r="H15" s="160" t="n"/>
    </row>
    <row r="16" ht="18" customHeight="1" s="150">
      <c r="B16" s="102" t="n"/>
      <c r="C16" s="102" t="n"/>
      <c r="D16" s="102" t="n"/>
      <c r="E16" s="250" t="n"/>
      <c r="F16" s="160" t="n"/>
      <c r="G16" s="160" t="n"/>
      <c r="H16" s="160" t="n"/>
    </row>
    <row r="17" ht="18" customHeight="1" s="150">
      <c r="B17" s="102" t="n"/>
      <c r="C17" s="102" t="n"/>
      <c r="D17" s="102" t="n"/>
      <c r="E17" s="250" t="n"/>
      <c r="F17" s="160" t="n"/>
      <c r="G17" s="160" t="n"/>
      <c r="H17" s="160" t="n"/>
    </row>
    <row r="18" ht="18" customHeight="1" s="150">
      <c r="B18" s="102" t="n"/>
      <c r="C18" s="102" t="n"/>
      <c r="D18" s="102" t="n"/>
      <c r="E18" s="250" t="n"/>
      <c r="F18" s="160" t="n"/>
      <c r="G18" s="160" t="n"/>
      <c r="H18" s="160" t="n"/>
    </row>
    <row r="19" ht="18" customHeight="1" s="150">
      <c r="B19" s="102" t="n"/>
      <c r="C19" s="102" t="n"/>
      <c r="D19" s="102" t="n"/>
      <c r="E19" s="250" t="n"/>
      <c r="F19" s="160" t="n"/>
      <c r="G19" s="160" t="n"/>
      <c r="H19" s="160" t="n"/>
    </row>
    <row r="20" ht="15" customHeight="1" s="150">
      <c r="B20" s="252" t="inlineStr">
        <is>
          <t>→ Agregar fechas como dd-mm-aaaa. Ejemplo: 18-09-2026 — Fiestas Patrias</t>
        </is>
      </c>
      <c r="C20" s="253" t="n"/>
      <c r="D20" s="253" t="n"/>
      <c r="E20" s="253" t="n"/>
      <c r="F20" s="253" t="n"/>
      <c r="G20" s="253" t="n"/>
      <c r="H20" s="253" t="n"/>
    </row>
    <row r="21" ht="9.75" customHeight="1" s="150"/>
    <row r="22" ht="19.5" customHeight="1" s="150">
      <c r="B22" s="254" t="inlineStr">
        <is>
          <t>3.  METAS MENSUALES POR TEAM  —  MAYO 2026</t>
        </is>
      </c>
      <c r="C22" s="156" t="n"/>
      <c r="D22" s="156" t="n"/>
      <c r="E22" s="156" t="n"/>
      <c r="F22" s="156" t="n"/>
      <c r="G22" s="156" t="n"/>
      <c r="H22" s="156" t="n"/>
    </row>
    <row r="23" ht="30" customHeight="1" s="150">
      <c r="B23" s="7" t="inlineStr">
        <is>
          <t>Team</t>
        </is>
      </c>
      <c r="C23" s="7" t="inlineStr">
        <is>
          <t>Equipo</t>
        </is>
      </c>
      <c r="D23" s="7" t="inlineStr">
        <is>
          <t>Faena</t>
        </is>
      </c>
      <c r="E23" s="7" t="inlineStr">
        <is>
          <t>Meta Mes
(m³SSC)</t>
        </is>
      </c>
      <c r="F23" s="7" t="inlineStr">
        <is>
          <t>m³/día plan
(auto)</t>
        </is>
      </c>
      <c r="G23" s="7" t="inlineStr">
        <is>
          <t>m³/hora plan
(auto)</t>
        </is>
      </c>
      <c r="H23" s="7" t="inlineStr">
        <is>
          <t>Especie</t>
        </is>
      </c>
      <c r="I23" s="7" t="inlineStr">
        <is>
          <t>Meta Volteo
(m³SSC)</t>
        </is>
      </c>
      <c r="J23" s="7" t="inlineStr">
        <is>
          <t>Meta Madereo
(m³SSC)</t>
        </is>
      </c>
      <c r="K23" s="7" t="inlineStr">
        <is>
          <t>Meta Clasificado
(m³SSC)</t>
        </is>
      </c>
    </row>
    <row r="24" ht="19.5" customHeight="1" s="150">
      <c r="B24" s="103" t="inlineStr">
        <is>
          <t>Millalemu 1.1</t>
        </is>
      </c>
      <c r="C24" s="104" t="inlineStr">
        <is>
          <t>S123</t>
        </is>
      </c>
      <c r="D24" s="105" t="inlineStr">
        <is>
          <t>QUEBRADA HONDA 2 FBB</t>
        </is>
      </c>
      <c r="E24" s="106" t="n">
        <v>8000</v>
      </c>
      <c r="F24" s="107">
        <f>IF(CONFIGURACIÓN!$C$10=0,0,ROUND(E24/CONFIGURACIÓN!$C$10,1))</f>
        <v/>
      </c>
      <c r="G24" s="107">
        <f>IF(CONFIGURACIÓN!$C$8=0,0,ROUND(F24/CONFIGURACIÓN!$C$8,1))</f>
        <v/>
      </c>
      <c r="H24" s="108" t="inlineStr">
        <is>
          <t>PIRA</t>
        </is>
      </c>
      <c r="I24" s="106"/>
      <c r="J24" s="106"/>
      <c r="K24" s="106"/>
    </row>
    <row r="25" ht="19.5" customHeight="1" s="150">
      <c r="B25" s="103" t="inlineStr">
        <is>
          <t>Millalemu 1.2</t>
        </is>
      </c>
      <c r="C25" s="98" t="inlineStr">
        <is>
          <t>S58</t>
        </is>
      </c>
      <c r="D25" s="109" t="inlineStr">
        <is>
          <t>COIHUECO Y OTROS (BB)</t>
        </is>
      </c>
      <c r="E25" s="106" t="n">
        <v>8000</v>
      </c>
      <c r="F25" s="107">
        <f>IF(CONFIGURACIÓN!$C$10=0,0,ROUND(E25/CONFIGURACIÓN!$C$10,1))</f>
        <v/>
      </c>
      <c r="G25" s="107">
        <f>IF(CONFIGURACIÓN!$C$8=0,0,ROUND(F25/CONFIGURACIÓN!$C$8,1))</f>
        <v/>
      </c>
      <c r="H25" s="108" t="inlineStr">
        <is>
          <t>PIRA</t>
        </is>
      </c>
      <c r="I25" s="106"/>
      <c r="J25" s="106"/>
      <c r="K25" s="106"/>
    </row>
    <row r="26" ht="19.5" customHeight="1" s="150">
      <c r="B26" s="103" t="inlineStr">
        <is>
          <t>Millalemu 1.3</t>
        </is>
      </c>
      <c r="C26" s="104" t="inlineStr">
        <is>
          <t>S223</t>
        </is>
      </c>
      <c r="D26" s="105" t="inlineStr">
        <is>
          <t>LAS ULLOAS (BB)</t>
        </is>
      </c>
      <c r="E26" s="106" t="n">
        <v>8000</v>
      </c>
      <c r="F26" s="107">
        <f>IF(CONFIGURACIÓN!$C$10=0,0,ROUND(E26/CONFIGURACIÓN!$C$10,1))</f>
        <v/>
      </c>
      <c r="G26" s="107">
        <f>IF(CONFIGURACIÓN!$C$8=0,0,ROUND(F26/CONFIGURACIÓN!$C$8,1))</f>
        <v/>
      </c>
      <c r="H26" s="108" t="inlineStr">
        <is>
          <t>PIRA</t>
        </is>
      </c>
      <c r="I26" s="106"/>
      <c r="J26" s="106"/>
      <c r="K26" s="106"/>
    </row>
    <row r="27" ht="19.5" customHeight="1" s="150">
      <c r="B27" s="103" t="inlineStr">
        <is>
          <t>Millalemu 1.4</t>
        </is>
      </c>
      <c r="C27" s="98" t="inlineStr">
        <is>
          <t>S246</t>
        </is>
      </c>
      <c r="D27" s="109" t="inlineStr">
        <is>
          <t>COIHUECO Y OTROS (BB)</t>
        </is>
      </c>
      <c r="E27" s="106" t="n">
        <v>8000</v>
      </c>
      <c r="F27" s="107">
        <f>IF(CONFIGURACIÓN!$C$10=0,0,ROUND(E27/CONFIGURACIÓN!$C$10,1))</f>
        <v/>
      </c>
      <c r="G27" s="107">
        <f>IF(CONFIGURACIÓN!$C$8=0,0,ROUND(F27/CONFIGURACIÓN!$C$8,1))</f>
        <v/>
      </c>
      <c r="H27" s="108" t="inlineStr">
        <is>
          <t>PIRA</t>
        </is>
      </c>
      <c r="I27" s="106"/>
      <c r="J27" s="106"/>
      <c r="K27" s="106"/>
    </row>
    <row r="28" ht="19.5" customHeight="1" s="150">
      <c r="B28" s="103" t="inlineStr">
        <is>
          <t>Millalemu 5</t>
        </is>
      </c>
      <c r="C28" s="104" t="inlineStr">
        <is>
          <t>MG5</t>
        </is>
      </c>
      <c r="D28" s="105" t="inlineStr">
        <is>
          <t>SAN EDUARDO 2</t>
        </is>
      </c>
      <c r="E28" s="106" t="n">
        <v>7000</v>
      </c>
      <c r="F28" s="107">
        <f>IF(CONFIGURACIÓN!$C$10=0,0,ROUND(E28/CONFIGURACIÓN!$C$10,1))</f>
        <v/>
      </c>
      <c r="G28" s="107">
        <f>IF(CONFIGURACIÓN!$C$8=0,0,ROUND(F28/CONFIGURACIÓN!$C$8,1))</f>
        <v/>
      </c>
      <c r="H28" s="110" t="inlineStr">
        <is>
          <t>EUGL</t>
        </is>
      </c>
      <c r="I28" s="106"/>
      <c r="J28" s="106"/>
      <c r="K28" s="106"/>
    </row>
    <row r="29" ht="19.5" customHeight="1" s="150">
      <c r="B29" s="103" t="inlineStr">
        <is>
          <t>Millalemu 7</t>
        </is>
      </c>
      <c r="C29" s="98" t="inlineStr">
        <is>
          <t>TEA02</t>
        </is>
      </c>
      <c r="D29" s="109" t="inlineStr">
        <is>
          <t>EL CABRITO CBB / PLAZOLETAS</t>
        </is>
      </c>
      <c r="E29" s="106" t="n">
        <v>8060</v>
      </c>
      <c r="F29" s="107">
        <f>IF(CONFIGURACIÓN!$C$10=0,0,ROUND(E29/CONFIGURACIÓN!$C$10,1))</f>
        <v/>
      </c>
      <c r="G29" s="107">
        <f>IF(CONFIGURACIÓN!$C$8=0,0,ROUND(F29/CONFIGURACIÓN!$C$8,1))</f>
        <v/>
      </c>
      <c r="H29" s="108" t="inlineStr">
        <is>
          <t>PIRA</t>
        </is>
      </c>
      <c r="I29" s="106"/>
      <c r="J29" s="106"/>
      <c r="K29" s="106"/>
    </row>
    <row r="30" ht="19.5" customHeight="1" s="150">
      <c r="B30" s="103" t="inlineStr">
        <is>
          <t>Millalemu 9</t>
        </is>
      </c>
      <c r="C30" s="104" t="inlineStr">
        <is>
          <t>TEA08</t>
        </is>
      </c>
      <c r="D30" s="105" t="inlineStr">
        <is>
          <t>COIHUECO Y OTROS (BB)</t>
        </is>
      </c>
      <c r="E30" s="106" t="n">
        <v>5940</v>
      </c>
      <c r="F30" s="107">
        <f>IF(CONFIGURACIÓN!$C$10=0,0,ROUND(E30/CONFIGURACIÓN!$C$10,1))</f>
        <v/>
      </c>
      <c r="G30" s="107">
        <f>IF(CONFIGURACIÓN!$C$8=0,0,ROUND(F30/CONFIGURACIÓN!$C$8,1))</f>
        <v/>
      </c>
      <c r="H30" s="108" t="inlineStr">
        <is>
          <t>PIRA</t>
        </is>
      </c>
      <c r="I30" s="106"/>
      <c r="J30" s="106"/>
      <c r="K30" s="106"/>
    </row>
    <row r="31" ht="19.5" customHeight="1" s="150">
      <c r="B31" s="103" t="inlineStr">
        <is>
          <t>Millalemu 11</t>
        </is>
      </c>
      <c r="C31" s="98" t="inlineStr">
        <is>
          <t>T125</t>
        </is>
      </c>
      <c r="D31" s="109" t="inlineStr">
        <is>
          <t>POLHUIN</t>
        </is>
      </c>
      <c r="E31" s="106" t="n">
        <v>6000</v>
      </c>
      <c r="F31" s="107">
        <f>IF(CONFIGURACIÓN!$C$10=0,0,ROUND(E31/CONFIGURACIÓN!$C$10,1))</f>
        <v/>
      </c>
      <c r="G31" s="107">
        <f>IF(CONFIGURACIÓN!$C$8=0,0,ROUND(F31/CONFIGURACIÓN!$C$8,1))</f>
        <v/>
      </c>
      <c r="H31" s="110" t="inlineStr">
        <is>
          <t>EUGL</t>
        </is>
      </c>
      <c r="I31" s="106"/>
      <c r="J31" s="106"/>
      <c r="K31" s="106"/>
    </row>
    <row r="32" ht="19.5" customHeight="1" s="150">
      <c r="B32" s="255" t="inlineStr">
        <is>
          <t>TOTAL METAS MES</t>
        </is>
      </c>
      <c r="C32" s="156" t="n"/>
      <c r="D32" s="256" t="n"/>
      <c r="E32" s="111">
        <f>SUM(E24:E31)</f>
        <v/>
      </c>
      <c r="F32" s="8" t="n"/>
      <c r="G32" s="8" t="n"/>
      <c r="H32" s="8" t="n"/>
    </row>
  </sheetData>
  <mergeCells count="19">
    <mergeCell ref="E16:H16"/>
    <mergeCell ref="E7:H7"/>
    <mergeCell ref="B20:H20"/>
    <mergeCell ref="E18:H18"/>
    <mergeCell ref="B4:H4"/>
    <mergeCell ref="E5:H5"/>
    <mergeCell ref="B22:H22"/>
    <mergeCell ref="E17:H17"/>
    <mergeCell ref="E8:H8"/>
    <mergeCell ref="B32:D32"/>
    <mergeCell ref="B2:H2"/>
    <mergeCell ref="E19:H19"/>
    <mergeCell ref="E10:H10"/>
    <mergeCell ref="E9:H9"/>
    <mergeCell ref="B1:H1"/>
    <mergeCell ref="B13:H13"/>
    <mergeCell ref="E6:H6"/>
    <mergeCell ref="E15:H15"/>
    <mergeCell ref="E11:H1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P18"/>
  <sheetViews>
    <sheetView showGridLines="0" zoomScale="90" zoomScaleNormal="9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13" sqref="B13"/>
    </sheetView>
  </sheetViews>
  <sheetFormatPr baseColWidth="10" defaultColWidth="8.6640625" defaultRowHeight="15"/>
  <cols>
    <col width="2" customWidth="1" style="150" min="1" max="1"/>
    <col width="14" customWidth="1" style="150" min="2" max="16"/>
  </cols>
  <sheetData>
    <row r="1" ht="31.5" customHeight="1" s="150">
      <c r="B1" s="269" t="inlineStr">
        <is>
          <t>🌲  PANEL DE CONTROL DE COSECHA — FORESTAL MILLALEMU</t>
        </is>
      </c>
    </row>
    <row r="2" ht="4.5" customHeight="1" s="150"/>
    <row r="3" ht="18" customHeight="1" s="150">
      <c r="B3" s="272">
        <f>"Período: 01-"&amp;TEXT(MATCH(CONFIGURACIÓN!C5,{"Enero","Febrero","Marzo","Abril","Mayo","Junio","Julio","Agosto","Septiembre","Octubre","Noviembre","Diciembre"},0),"00")&amp;"-"&amp;CONFIGURACIÓN!C6&amp;"  |  Empresa: FORESTAL MILLALEMU Y CIA.LTDA.  |  Faena: Cosecha Rasa"</f>
        <v/>
      </c>
    </row>
    <row r="4" ht="9.75" customHeight="1" s="150"/>
    <row r="5" ht="19.5" customHeight="1" s="150">
      <c r="B5" s="264" t="inlineStr">
        <is>
          <t>VOLUMEN TOTAL m³SSC</t>
        </is>
      </c>
      <c r="E5" s="270" t="inlineStr">
        <is>
          <t>m³/HORA GLOBAL</t>
        </is>
      </c>
      <c r="H5" s="266" t="inlineStr">
        <is>
          <t>DISP. PROM.</t>
        </is>
      </c>
      <c r="K5" s="271" t="inlineStr">
        <is>
          <t>TM MANTENCIÓN</t>
        </is>
      </c>
      <c r="N5" s="259" t="inlineStr">
        <is>
          <t>⚠ ALERTAS &lt;80%</t>
        </is>
      </c>
    </row>
    <row r="6" ht="36" customHeight="1" s="150">
      <c r="B6" s="262">
        <f>ROUND(SUM(DATOS_PROD!L:L),1)</f>
        <v/>
      </c>
      <c r="E6" s="260">
        <f>IF(SUM(DATOS_PROD!I:I)=0,0,ROUND(SUM(DATOS_PROD!L:L)/SUM(DATOS_PROD!I:I),2))</f>
        <v/>
      </c>
      <c r="H6" s="273">
        <f>ROUND(AVERAGE(DATOS_PROD!O:O),1)&amp;"%"</f>
        <v/>
      </c>
      <c r="K6" s="265">
        <f>ROUND(SUM(DATOS_PROD!M:M)/60,1)&amp;" h"</f>
        <v/>
      </c>
      <c r="N6" s="263">
        <f>COUNTIF(DATOS_PROD!O:O,"&lt;80")&amp;" equipo(s)"</f>
        <v/>
      </c>
    </row>
    <row r="7" ht="19.5" customHeight="1" s="150"/>
    <row r="8" ht="7.5" customHeight="1" s="150"/>
    <row r="9" ht="18" customHeight="1" s="150">
      <c r="B9" s="261" t="inlineStr">
        <is>
          <t>RESUMEN DE PRODUCTIVIDAD POR EQUIPO</t>
        </is>
      </c>
    </row>
    <row r="10" ht="19.5" customHeight="1" s="150">
      <c r="B10" s="9" t="inlineStr">
        <is>
          <t>Equipo</t>
        </is>
      </c>
      <c r="C10" s="9" t="inlineStr">
        <is>
          <t>Tipo</t>
        </is>
      </c>
      <c r="D10" s="9" t="inlineStr">
        <is>
          <t>Especie</t>
        </is>
      </c>
      <c r="E10" s="9" t="inlineStr">
        <is>
          <t>Días</t>
        </is>
      </c>
      <c r="F10" s="9" t="inlineStr">
        <is>
          <t>Vol. m³SSC</t>
        </is>
      </c>
      <c r="G10" s="9" t="inlineStr">
        <is>
          <t>m³/Hora</t>
        </is>
      </c>
      <c r="H10" s="9" t="inlineStr">
        <is>
          <t>Disp. %</t>
        </is>
      </c>
      <c r="I10" s="9" t="inlineStr">
        <is>
          <t>TM Mant. (h)</t>
        </is>
      </c>
      <c r="J10" s="9" t="inlineStr">
        <is>
          <t>Estado</t>
        </is>
      </c>
    </row>
    <row r="11" ht="18" customHeight="1" s="150">
      <c r="B11" s="10" t="inlineStr">
        <is>
          <t>T125</t>
        </is>
      </c>
      <c r="C11" s="10">
        <f>INDEX(DATOS_PROD!D:D,MATCH(B11,DATOS_PROD!C:C,0))</f>
        <v/>
      </c>
      <c r="D11" s="10">
        <f>INDEX(DATOS_PROD!F:F,MATCH(B11,DATOS_PROD!C:C,0))</f>
        <v/>
      </c>
      <c r="E11" s="10">
        <f>COUNTIF(DATOS_PROD!C:C,B11)</f>
        <v/>
      </c>
      <c r="F11" s="11">
        <f>SUMIFS(DATOS_PROD!L:L,DATOS_PROD!C:C,B11)</f>
        <v/>
      </c>
      <c r="G11" s="10">
        <f>IF(SUMIFS(DATOS_PROD!I:I,DATOS_PROD!C:C,B11)=0,0,ROUND(F11/SUMIFS(DATOS_PROD!I:I,DATOS_PROD!C:C,B11),2))</f>
        <v/>
      </c>
      <c r="H11" s="12">
        <f>ROUND(AVERAGEIFS(DATOS_PROD!O:O,DATOS_PROD!C:C,B11),1)</f>
        <v/>
      </c>
      <c r="I11" s="10">
        <f>ROUND(SUMIFS(DATOS_PROD!M:M,DATOS_PROD!C:C,B11)/60,1)</f>
        <v/>
      </c>
      <c r="J11" s="13">
        <f>IF(H11&gt;=80,"✔ OK","⚠ Baja")</f>
        <v/>
      </c>
    </row>
    <row r="12" ht="18" customHeight="1" s="150">
      <c r="B12" s="14" t="inlineStr">
        <is>
          <t>MG5</t>
        </is>
      </c>
      <c r="C12" s="14">
        <f>INDEX(DATOS_PROD!D:D,MATCH(B12,DATOS_PROD!C:C,0))</f>
        <v/>
      </c>
      <c r="D12" s="14">
        <f>INDEX(DATOS_PROD!F:F,MATCH(B12,DATOS_PROD!C:C,0))</f>
        <v/>
      </c>
      <c r="E12" s="14">
        <f>COUNTIF(DATOS_PROD!C:C,B12)</f>
        <v/>
      </c>
      <c r="F12" s="15">
        <f>SUMIFS(DATOS_PROD!L:L,DATOS_PROD!C:C,B12)</f>
        <v/>
      </c>
      <c r="G12" s="14">
        <f>IF(SUMIFS(DATOS_PROD!I:I,DATOS_PROD!C:C,B12)=0,0,ROUND(F12/SUMIFS(DATOS_PROD!I:I,DATOS_PROD!C:C,B12),2))</f>
        <v/>
      </c>
      <c r="H12" s="16">
        <f>ROUND(AVERAGEIFS(DATOS_PROD!O:O,DATOS_PROD!C:C,B12),1)</f>
        <v/>
      </c>
      <c r="I12" s="14">
        <f>ROUND(SUMIFS(DATOS_PROD!M:M,DATOS_PROD!C:C,B12)/60,1)</f>
        <v/>
      </c>
      <c r="J12" s="13">
        <f>IF(H12&gt;=80,"✔ OK","⚠ Baja")</f>
        <v/>
      </c>
    </row>
    <row r="14" ht="7.5" customHeight="1" s="150"/>
    <row r="15" ht="18" customHeight="1" s="150">
      <c r="B15" s="267" t="inlineStr">
        <is>
          <t>PARETO — CAUSAS DE TIEMPOS PERDIDOS</t>
        </is>
      </c>
      <c r="C15" s="268" t="n"/>
      <c r="D15" s="268" t="n"/>
      <c r="E15" s="268" t="n"/>
      <c r="F15" s="268" t="n"/>
      <c r="G15" s="268" t="n"/>
      <c r="H15" s="268" t="n"/>
      <c r="I15" s="268" t="n"/>
      <c r="J15" s="267" t="inlineStr">
        <is>
          <t>RENDIMIENTO POR ESPECIE</t>
        </is>
      </c>
      <c r="K15" s="268" t="n"/>
      <c r="L15" s="268" t="n"/>
      <c r="M15" s="268" t="n"/>
      <c r="N15" s="268" t="n"/>
      <c r="O15" s="268" t="n"/>
      <c r="P15" s="268" t="n"/>
    </row>
    <row r="16" ht="18" customHeight="1" s="150">
      <c r="B16" s="9" t="inlineStr">
        <is>
          <t>#</t>
        </is>
      </c>
      <c r="C16" s="9" t="inlineStr">
        <is>
          <t>Causa</t>
        </is>
      </c>
      <c r="D16" s="9" t="inlineStr">
        <is>
          <t>Clasificación</t>
        </is>
      </c>
      <c r="E16" s="9" t="inlineStr">
        <is>
          <t>Min. Perdidos</t>
        </is>
      </c>
      <c r="F16" s="9" t="inlineStr">
        <is>
          <t>% del Total</t>
        </is>
      </c>
      <c r="G16" s="9" t="inlineStr">
        <is>
          <t>Acumulado %</t>
        </is>
      </c>
      <c r="H16" s="9" t="n"/>
      <c r="I16" s="9" t="inlineStr">
        <is>
          <t>Impacto</t>
        </is>
      </c>
      <c r="J16" s="9" t="inlineStr">
        <is>
          <t>Especie</t>
        </is>
      </c>
      <c r="K16" s="9" t="inlineStr">
        <is>
          <t>m³ Total</t>
        </is>
      </c>
      <c r="L16" s="9" t="inlineStr">
        <is>
          <t>m³/Hora</t>
        </is>
      </c>
      <c r="M16" s="9" t="inlineStr">
        <is>
          <t>TM Mant (h)</t>
        </is>
      </c>
      <c r="N16" s="9" t="n"/>
      <c r="O16" s="9" t="n"/>
      <c r="P16" s="9" t="n"/>
    </row>
    <row r="17" ht="18" customHeight="1" s="150">
      <c r="B17" s="17">
        <f>1</f>
        <v/>
      </c>
      <c r="C17" s="18">
        <f>ANALISIS!A10</f>
        <v/>
      </c>
      <c r="D17" s="19">
        <f>INDEX(TIEMPOS_PERDIDOS!F:F,MATCH(C17,TIEMPOS_PERDIDOS!E:E,0))</f>
        <v/>
      </c>
      <c r="E17" s="20">
        <f>ANALISIS!B10</f>
        <v/>
      </c>
      <c r="F17" s="21">
        <f>ANALISIS!C10</f>
        <v/>
      </c>
      <c r="G17" s="21">
        <f>ANALISIS!D10</f>
        <v/>
      </c>
      <c r="H17" s="17">
        <f>REPT("█",ROUND(F17*10,0))&amp;REPT("░",10-ROUND(F17*10,0))</f>
        <v/>
      </c>
      <c r="I17" s="17">
        <f>IF(F17&gt;=0.5,"▶ "&amp;TEXT(F17,"0%"),"")</f>
        <v/>
      </c>
      <c r="J17" s="22" t="inlineStr">
        <is>
          <t>EUGL</t>
        </is>
      </c>
      <c r="K17" s="23">
        <f>ROUND(SUM(DATOS_PROD!L:L),1)</f>
        <v/>
      </c>
      <c r="L17" s="24">
        <f>E6</f>
        <v/>
      </c>
      <c r="M17" s="23">
        <f>ROUND(SUM(DATOS_PROD!M:M)/60,1)</f>
        <v/>
      </c>
    </row>
    <row r="18" ht="18" customHeight="1" s="150">
      <c r="B18" s="25">
        <f>2</f>
        <v/>
      </c>
      <c r="C18" s="26">
        <f>ANALISIS!A11</f>
        <v/>
      </c>
      <c r="D18" s="27">
        <f>INDEX(TIEMPOS_PERDIDOS!F:F,MATCH(C18,TIEMPOS_PERDIDOS!E:E,0))</f>
        <v/>
      </c>
      <c r="E18" s="28">
        <f>ANALISIS!B11</f>
        <v/>
      </c>
      <c r="F18" s="29">
        <f>ANALISIS!C11</f>
        <v/>
      </c>
      <c r="G18" s="29">
        <f>ANALISIS!D11</f>
        <v/>
      </c>
      <c r="H18" s="25">
        <f>REPT("█",ROUND(F18*10,0))&amp;REPT("░",10-ROUND(F18*10,0))</f>
        <v/>
      </c>
      <c r="I18" s="25">
        <f>IF(F18&gt;=0.5,"▶ "&amp;TEXT(F18,"0%"),"")</f>
        <v/>
      </c>
    </row>
  </sheetData>
  <mergeCells count="20">
    <mergeCell ref="N5:P5"/>
    <mergeCell ref="E6:G6"/>
    <mergeCell ref="H7:J7"/>
    <mergeCell ref="B9:P9"/>
    <mergeCell ref="E7:G7"/>
    <mergeCell ref="B6:D6"/>
    <mergeCell ref="N6:P6"/>
    <mergeCell ref="K7:M7"/>
    <mergeCell ref="B5:D5"/>
    <mergeCell ref="K6:M6"/>
    <mergeCell ref="H5:J5"/>
    <mergeCell ref="J15:P15"/>
    <mergeCell ref="B7:D7"/>
    <mergeCell ref="N7:P7"/>
    <mergeCell ref="B15:I15"/>
    <mergeCell ref="B1:P2"/>
    <mergeCell ref="E5:G5"/>
    <mergeCell ref="K5:M5"/>
    <mergeCell ref="B3:P3"/>
    <mergeCell ref="H6:J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78"/>
  <sheetViews>
    <sheetView showGridLines="0" zoomScaleNormal="100" workbookViewId="0">
      <pane ySplit="2" topLeftCell="A3" activePane="bottomLeft" state="frozen"/>
      <selection pane="bottomLeft" activeCell="H12" sqref="H12"/>
    </sheetView>
  </sheetViews>
  <sheetFormatPr baseColWidth="10" defaultColWidth="8.6640625" defaultRowHeight="15"/>
  <cols>
    <col width="13" customWidth="1" style="150" min="1" max="16"/>
  </cols>
  <sheetData>
    <row r="1" ht="27.75" customHeight="1" s="150">
      <c r="A1" s="30" t="inlineStr">
        <is>
          <t>DATOS DE PRODUCTIVIDAD — DETALLE DIARIO</t>
        </is>
      </c>
    </row>
    <row r="2" ht="27.75" customHeight="1" s="150">
      <c r="A2" s="31" t="inlineStr">
        <is>
          <t>N° NOC</t>
        </is>
      </c>
      <c r="B2" s="31" t="inlineStr">
        <is>
          <t>Fecha</t>
        </is>
      </c>
      <c r="C2" s="31" t="inlineStr">
        <is>
          <t>Equipo</t>
        </is>
      </c>
      <c r="D2" s="31" t="inlineStr">
        <is>
          <t>Tipo Equipo</t>
        </is>
      </c>
      <c r="E2" s="31" t="inlineStr">
        <is>
          <t>Predio</t>
        </is>
      </c>
      <c r="F2" s="31" t="inlineStr">
        <is>
          <t>Especie</t>
        </is>
      </c>
      <c r="G2" s="31" t="inlineStr">
        <is>
          <t>Turno (min)</t>
        </is>
      </c>
      <c r="H2" s="31" t="inlineStr">
        <is>
          <t>Horometro (h)</t>
        </is>
      </c>
      <c r="I2" s="31" t="inlineStr">
        <is>
          <t>T. Efectivo (h)</t>
        </is>
      </c>
      <c r="J2" s="31" t="inlineStr">
        <is>
          <t>N° Ciclos</t>
        </is>
      </c>
      <c r="K2" s="31" t="inlineStr">
        <is>
          <t>Árboles Mad.</t>
        </is>
      </c>
      <c r="L2" s="31" t="inlineStr">
        <is>
          <t>Volumen m³SSC</t>
        </is>
      </c>
      <c r="M2" s="31" t="inlineStr">
        <is>
          <t>TM Mant (min)</t>
        </is>
      </c>
      <c r="N2" s="31" t="inlineStr">
        <is>
          <t>TM Total (min)</t>
        </is>
      </c>
      <c r="O2" s="31" t="inlineStr">
        <is>
          <t>Disponibilidad %</t>
        </is>
      </c>
      <c r="P2" s="31" t="inlineStr">
        <is>
          <t>m³/hora</t>
        </is>
      </c>
    </row>
    <row r="3" ht="15.75" customHeight="1" s="150">
      <c r="A3" s="112" t="n">
        <v>825860</v>
      </c>
      <c r="B3" s="112" t="inlineStr">
        <is>
          <t>01-05-2026</t>
        </is>
      </c>
      <c r="C3" s="112" t="inlineStr">
        <is>
          <t>MG5</t>
        </is>
      </c>
      <c r="D3" s="112" t="inlineStr">
        <is>
          <t>GRAPPLE</t>
        </is>
      </c>
      <c r="E3" s="112" t="inlineStr">
        <is>
          <t>CE-27 ESPINALILLO YBAR</t>
        </is>
      </c>
      <c r="F3" s="112" t="inlineStr">
        <is>
          <t>PIRA</t>
        </is>
      </c>
      <c r="G3" s="112" t="n">
        <v>720</v>
      </c>
      <c r="H3" s="113" t="n">
        <v>0</v>
      </c>
      <c r="I3" s="113" t="n">
        <v>0</v>
      </c>
      <c r="J3" s="112" t="n">
        <v>1</v>
      </c>
      <c r="K3" s="112" t="n">
        <v>0</v>
      </c>
      <c r="L3" s="113" t="n">
        <v>0</v>
      </c>
      <c r="M3" s="112" t="n">
        <v>0</v>
      </c>
      <c r="N3" s="112" t="n">
        <v>660</v>
      </c>
      <c r="O3" s="114" t="n">
        <v>100</v>
      </c>
      <c r="P3" s="113" t="n">
        <v>0</v>
      </c>
    </row>
    <row r="4" ht="15.75" customHeight="1" s="150">
      <c r="A4" s="115" t="n">
        <v>825861</v>
      </c>
      <c r="B4" s="115" t="inlineStr">
        <is>
          <t>01-05-2026</t>
        </is>
      </c>
      <c r="C4" s="115" t="inlineStr">
        <is>
          <t>T125</t>
        </is>
      </c>
      <c r="D4" s="115" t="inlineStr">
        <is>
          <t>TORRE500</t>
        </is>
      </c>
      <c r="E4" s="115" t="inlineStr">
        <is>
          <t>POLHUIN</t>
        </is>
      </c>
      <c r="F4" s="115" t="inlineStr">
        <is>
          <t>EUGL</t>
        </is>
      </c>
      <c r="G4" s="115" t="n">
        <v>720</v>
      </c>
      <c r="H4" s="116" t="n">
        <v>0</v>
      </c>
      <c r="I4" s="116" t="n">
        <v>0</v>
      </c>
      <c r="J4" s="115" t="n">
        <v>0</v>
      </c>
      <c r="K4" s="115" t="n">
        <v>0</v>
      </c>
      <c r="L4" s="116" t="n">
        <v>0</v>
      </c>
      <c r="M4" s="115" t="n">
        <v>0</v>
      </c>
      <c r="N4" s="115" t="n">
        <v>660</v>
      </c>
      <c r="O4" s="117" t="n">
        <v>100</v>
      </c>
      <c r="P4" s="116" t="n">
        <v>0</v>
      </c>
    </row>
    <row r="5">
      <c r="A5" t="n">
        <v>825863</v>
      </c>
      <c r="B5" t="inlineStr">
        <is>
          <t>01-05-2026</t>
        </is>
      </c>
      <c r="C5" t="inlineStr">
        <is>
          <t>TEA02</t>
        </is>
      </c>
      <c r="D5" t="inlineStr">
        <is>
          <t>FORWINCH</t>
        </is>
      </c>
      <c r="E5" t="inlineStr">
        <is>
          <t>LO MARJU CBB</t>
        </is>
      </c>
      <c r="F5" t="inlineStr">
        <is>
          <t>PIRA</t>
        </is>
      </c>
      <c r="G5" t="n">
        <v>720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660</v>
      </c>
      <c r="O5" t="n">
        <v>100</v>
      </c>
      <c r="P5" t="n">
        <v>0</v>
      </c>
    </row>
    <row r="6">
      <c r="A6" t="n">
        <v>825876</v>
      </c>
      <c r="B6" t="inlineStr">
        <is>
          <t>02-05-2026</t>
        </is>
      </c>
      <c r="C6" t="inlineStr">
        <is>
          <t>S123</t>
        </is>
      </c>
      <c r="D6" t="inlineStr">
        <is>
          <t>SKIDDER</t>
        </is>
      </c>
      <c r="E6" t="inlineStr">
        <is>
          <t>EL CABRITO CBB</t>
        </is>
      </c>
      <c r="F6" t="inlineStr">
        <is>
          <t>PIRA</t>
        </is>
      </c>
      <c r="G6" t="n">
        <v>540</v>
      </c>
      <c r="H6" t="n">
        <v>0</v>
      </c>
      <c r="I6" t="n">
        <v>7.5</v>
      </c>
      <c r="J6" t="n">
        <v>43</v>
      </c>
      <c r="K6" t="n">
        <v>0</v>
      </c>
      <c r="L6" t="n">
        <v>0</v>
      </c>
      <c r="M6" t="n">
        <v>0</v>
      </c>
      <c r="N6" t="n">
        <v>60</v>
      </c>
      <c r="O6" t="n">
        <v>100</v>
      </c>
      <c r="P6" t="n">
        <v>0</v>
      </c>
    </row>
    <row r="7">
      <c r="A7" t="n">
        <v>825876</v>
      </c>
      <c r="B7" t="inlineStr">
        <is>
          <t>02-05-2026</t>
        </is>
      </c>
      <c r="C7" t="inlineStr">
        <is>
          <t>S123</t>
        </is>
      </c>
      <c r="D7" t="inlineStr">
        <is>
          <t>SKIDDER</t>
        </is>
      </c>
      <c r="E7" t="inlineStr">
        <is>
          <t>EL CABRITO CBB</t>
        </is>
      </c>
      <c r="F7" t="inlineStr">
        <is>
          <t>PIRA</t>
        </is>
      </c>
      <c r="G7" t="n">
        <v>540</v>
      </c>
      <c r="H7" t="n">
        <v>0</v>
      </c>
      <c r="I7" t="n">
        <v>7.5</v>
      </c>
      <c r="J7" t="n">
        <v>43</v>
      </c>
      <c r="K7" t="n">
        <v>0</v>
      </c>
      <c r="L7" t="n">
        <v>29.84</v>
      </c>
      <c r="M7" t="n">
        <v>0</v>
      </c>
      <c r="N7" t="n">
        <v>60</v>
      </c>
      <c r="O7" t="n">
        <v>100</v>
      </c>
      <c r="P7" t="n">
        <v>3.98</v>
      </c>
    </row>
    <row r="8">
      <c r="A8" t="n">
        <v>825876</v>
      </c>
      <c r="B8" t="inlineStr">
        <is>
          <t>02-05-2026</t>
        </is>
      </c>
      <c r="C8" t="inlineStr">
        <is>
          <t>S123</t>
        </is>
      </c>
      <c r="D8" t="inlineStr">
        <is>
          <t>SKIDDER</t>
        </is>
      </c>
      <c r="E8" t="inlineStr">
        <is>
          <t>EL CABRITO CBB</t>
        </is>
      </c>
      <c r="F8" t="inlineStr">
        <is>
          <t>PIRA</t>
        </is>
      </c>
      <c r="G8" t="n">
        <v>540</v>
      </c>
      <c r="H8" t="n">
        <v>0</v>
      </c>
      <c r="I8" t="n">
        <v>7.5</v>
      </c>
      <c r="J8" t="n">
        <v>43</v>
      </c>
      <c r="K8" t="n">
        <v>0</v>
      </c>
      <c r="L8" t="n">
        <v>21.99</v>
      </c>
      <c r="M8" t="n">
        <v>0</v>
      </c>
      <c r="N8" t="n">
        <v>60</v>
      </c>
      <c r="O8" t="n">
        <v>100</v>
      </c>
      <c r="P8" t="n">
        <v>2.93</v>
      </c>
    </row>
    <row r="9">
      <c r="A9" t="n">
        <v>825876</v>
      </c>
      <c r="B9" t="inlineStr">
        <is>
          <t>02-05-2026</t>
        </is>
      </c>
      <c r="C9" t="inlineStr">
        <is>
          <t>S123</t>
        </is>
      </c>
      <c r="D9" t="inlineStr">
        <is>
          <t>SKIDDER</t>
        </is>
      </c>
      <c r="E9" t="inlineStr">
        <is>
          <t>EL CABRITO CBB</t>
        </is>
      </c>
      <c r="F9" t="inlineStr">
        <is>
          <t>PIRA</t>
        </is>
      </c>
      <c r="G9" t="n">
        <v>540</v>
      </c>
      <c r="H9" t="n">
        <v>0</v>
      </c>
      <c r="I9" t="n">
        <v>7.5</v>
      </c>
      <c r="J9" t="n">
        <v>43</v>
      </c>
      <c r="K9" t="n">
        <v>0</v>
      </c>
      <c r="L9" t="n">
        <v>0</v>
      </c>
      <c r="M9" t="n">
        <v>0</v>
      </c>
      <c r="N9" t="n">
        <v>60</v>
      </c>
      <c r="O9" t="n">
        <v>100</v>
      </c>
      <c r="P9" t="n">
        <v>0</v>
      </c>
    </row>
    <row r="10">
      <c r="A10" t="n">
        <v>825876</v>
      </c>
      <c r="B10" t="inlineStr">
        <is>
          <t>02-05-2026</t>
        </is>
      </c>
      <c r="C10" t="inlineStr">
        <is>
          <t>S123</t>
        </is>
      </c>
      <c r="D10" t="inlineStr">
        <is>
          <t>SKIDDER</t>
        </is>
      </c>
      <c r="E10" t="inlineStr">
        <is>
          <t>EL CABRITO CBB</t>
        </is>
      </c>
      <c r="F10" t="inlineStr">
        <is>
          <t>PIRA</t>
        </is>
      </c>
      <c r="G10" t="n">
        <v>540</v>
      </c>
      <c r="H10" t="n">
        <v>0</v>
      </c>
      <c r="I10" t="n">
        <v>7.5</v>
      </c>
      <c r="J10" t="n">
        <v>43</v>
      </c>
      <c r="K10" t="n">
        <v>0</v>
      </c>
      <c r="L10" t="n">
        <v>32.05</v>
      </c>
      <c r="M10" t="n">
        <v>0</v>
      </c>
      <c r="N10" t="n">
        <v>60</v>
      </c>
      <c r="O10" t="n">
        <v>100</v>
      </c>
      <c r="P10" t="n">
        <v>4.27</v>
      </c>
    </row>
    <row r="11">
      <c r="A11" t="n">
        <v>825876</v>
      </c>
      <c r="B11" t="inlineStr">
        <is>
          <t>02-05-2026</t>
        </is>
      </c>
      <c r="C11" t="inlineStr">
        <is>
          <t>S123</t>
        </is>
      </c>
      <c r="D11" t="inlineStr">
        <is>
          <t>SKIDDER</t>
        </is>
      </c>
      <c r="E11" t="inlineStr">
        <is>
          <t>EL CABRITO CBB</t>
        </is>
      </c>
      <c r="F11" t="inlineStr">
        <is>
          <t>PIRA</t>
        </is>
      </c>
      <c r="G11" t="n">
        <v>540</v>
      </c>
      <c r="H11" t="n">
        <v>0</v>
      </c>
      <c r="I11" t="n">
        <v>7.5</v>
      </c>
      <c r="J11" t="n">
        <v>43</v>
      </c>
      <c r="K11" t="n">
        <v>0</v>
      </c>
      <c r="L11" t="n">
        <v>120.23</v>
      </c>
      <c r="M11" t="n">
        <v>0</v>
      </c>
      <c r="N11" t="n">
        <v>60</v>
      </c>
      <c r="O11" t="n">
        <v>100</v>
      </c>
      <c r="P11" t="n">
        <v>16.03</v>
      </c>
    </row>
    <row r="12">
      <c r="A12" t="n">
        <v>825876</v>
      </c>
      <c r="B12" t="inlineStr">
        <is>
          <t>02-05-2026</t>
        </is>
      </c>
      <c r="C12" t="inlineStr">
        <is>
          <t>S123</t>
        </is>
      </c>
      <c r="D12" t="inlineStr">
        <is>
          <t>SKIDDER</t>
        </is>
      </c>
      <c r="E12" t="inlineStr">
        <is>
          <t>EL CABRITO CBB</t>
        </is>
      </c>
      <c r="F12" t="inlineStr">
        <is>
          <t>PIRA</t>
        </is>
      </c>
      <c r="G12" t="n">
        <v>540</v>
      </c>
      <c r="H12" t="n">
        <v>0</v>
      </c>
      <c r="I12" t="n">
        <v>7.5</v>
      </c>
      <c r="J12" t="n">
        <v>43</v>
      </c>
      <c r="K12" t="n">
        <v>0</v>
      </c>
      <c r="L12" t="n">
        <v>63.99</v>
      </c>
      <c r="M12" t="n">
        <v>0</v>
      </c>
      <c r="N12" t="n">
        <v>60</v>
      </c>
      <c r="O12" t="n">
        <v>100</v>
      </c>
      <c r="P12" t="n">
        <v>8.529999999999999</v>
      </c>
    </row>
    <row r="13">
      <c r="A13" t="n">
        <v>825876</v>
      </c>
      <c r="B13" t="inlineStr">
        <is>
          <t>02-05-2026</t>
        </is>
      </c>
      <c r="C13" t="inlineStr">
        <is>
          <t>S123</t>
        </is>
      </c>
      <c r="D13" t="inlineStr">
        <is>
          <t>SKIDDER</t>
        </is>
      </c>
      <c r="E13" t="inlineStr">
        <is>
          <t>EL CABRITO CBB</t>
        </is>
      </c>
      <c r="F13" t="inlineStr">
        <is>
          <t>PIRA</t>
        </is>
      </c>
      <c r="G13" t="n">
        <v>540</v>
      </c>
      <c r="H13" t="n">
        <v>0</v>
      </c>
      <c r="I13" t="n">
        <v>7.5</v>
      </c>
      <c r="J13" t="n">
        <v>43</v>
      </c>
      <c r="K13" t="n">
        <v>0</v>
      </c>
      <c r="L13" t="n">
        <v>7.59</v>
      </c>
      <c r="M13" t="n">
        <v>0</v>
      </c>
      <c r="N13" t="n">
        <v>60</v>
      </c>
      <c r="O13" t="n">
        <v>100</v>
      </c>
      <c r="P13" t="n">
        <v>1.01</v>
      </c>
    </row>
    <row r="14">
      <c r="A14" t="n">
        <v>825877</v>
      </c>
      <c r="B14" t="inlineStr">
        <is>
          <t>02-05-2026</t>
        </is>
      </c>
      <c r="C14" t="inlineStr">
        <is>
          <t>S123</t>
        </is>
      </c>
      <c r="D14" t="inlineStr">
        <is>
          <t>SKIDDER</t>
        </is>
      </c>
      <c r="E14" t="inlineStr">
        <is>
          <t>EL CABRITO CBB</t>
        </is>
      </c>
      <c r="F14" t="inlineStr">
        <is>
          <t>PIRA</t>
        </is>
      </c>
      <c r="G14" t="n">
        <v>180</v>
      </c>
      <c r="H14" t="n">
        <v>0</v>
      </c>
      <c r="I14" t="n">
        <v>2</v>
      </c>
      <c r="J14" t="n">
        <v>9</v>
      </c>
      <c r="K14" t="n">
        <v>0</v>
      </c>
      <c r="L14" t="n">
        <v>37.9</v>
      </c>
      <c r="M14" t="n">
        <v>0</v>
      </c>
      <c r="N14" t="n">
        <v>30</v>
      </c>
      <c r="O14" t="n">
        <v>100</v>
      </c>
      <c r="P14" t="n">
        <v>18.95</v>
      </c>
    </row>
    <row r="15">
      <c r="A15" t="n">
        <v>825877</v>
      </c>
      <c r="B15" t="inlineStr">
        <is>
          <t>02-05-2026</t>
        </is>
      </c>
      <c r="C15" t="inlineStr">
        <is>
          <t>S123</t>
        </is>
      </c>
      <c r="D15" t="inlineStr">
        <is>
          <t>SKIDDER</t>
        </is>
      </c>
      <c r="E15" t="inlineStr">
        <is>
          <t>EL CABRITO CBB</t>
        </is>
      </c>
      <c r="F15" t="inlineStr">
        <is>
          <t>PIRA</t>
        </is>
      </c>
      <c r="G15" t="n">
        <v>180</v>
      </c>
      <c r="H15" t="n">
        <v>0</v>
      </c>
      <c r="I15" t="n">
        <v>2</v>
      </c>
      <c r="J15" t="n">
        <v>9</v>
      </c>
      <c r="K15" t="n">
        <v>0</v>
      </c>
      <c r="L15" t="n">
        <v>9.24</v>
      </c>
      <c r="M15" t="n">
        <v>0</v>
      </c>
      <c r="N15" t="n">
        <v>30</v>
      </c>
      <c r="O15" t="n">
        <v>100</v>
      </c>
      <c r="P15" t="n">
        <v>4.62</v>
      </c>
    </row>
    <row r="16">
      <c r="A16" t="n">
        <v>825895</v>
      </c>
      <c r="B16" t="inlineStr">
        <is>
          <t>02-05-2026</t>
        </is>
      </c>
      <c r="C16" t="inlineStr">
        <is>
          <t>MG5</t>
        </is>
      </c>
      <c r="D16" t="inlineStr">
        <is>
          <t>GRAPPLE</t>
        </is>
      </c>
      <c r="E16" t="inlineStr">
        <is>
          <t>CE-27 ESPINALILLO YBAR</t>
        </is>
      </c>
      <c r="F16" t="inlineStr">
        <is>
          <t>PIRA</t>
        </is>
      </c>
      <c r="G16" t="n">
        <v>720</v>
      </c>
      <c r="H16" t="n">
        <v>0</v>
      </c>
      <c r="I16" t="n">
        <v>5</v>
      </c>
      <c r="J16" t="n">
        <v>17</v>
      </c>
      <c r="K16" t="n">
        <v>0</v>
      </c>
      <c r="L16" t="n">
        <v>9.66</v>
      </c>
      <c r="M16" t="n">
        <v>360</v>
      </c>
      <c r="N16" t="n">
        <v>360</v>
      </c>
      <c r="O16" t="n">
        <v>99.2</v>
      </c>
      <c r="P16" t="n">
        <v>1.93</v>
      </c>
    </row>
    <row r="17">
      <c r="A17" t="n">
        <v>825895</v>
      </c>
      <c r="B17" t="inlineStr">
        <is>
          <t>02-05-2026</t>
        </is>
      </c>
      <c r="C17" t="inlineStr">
        <is>
          <t>MG5</t>
        </is>
      </c>
      <c r="D17" t="inlineStr">
        <is>
          <t>GRAPPLE</t>
        </is>
      </c>
      <c r="E17" t="inlineStr">
        <is>
          <t>CE-27 ESPINALILLO YBAR</t>
        </is>
      </c>
      <c r="F17" t="inlineStr">
        <is>
          <t>PIRA</t>
        </is>
      </c>
      <c r="G17" t="n">
        <v>720</v>
      </c>
      <c r="H17" t="n">
        <v>0</v>
      </c>
      <c r="I17" t="n">
        <v>5</v>
      </c>
      <c r="J17" t="n">
        <v>17</v>
      </c>
      <c r="K17" t="n">
        <v>0</v>
      </c>
      <c r="L17" t="n">
        <v>27.29</v>
      </c>
      <c r="M17" t="n">
        <v>360</v>
      </c>
      <c r="N17" t="n">
        <v>360</v>
      </c>
      <c r="O17" t="n">
        <v>99.2</v>
      </c>
      <c r="P17" t="n">
        <v>5.46</v>
      </c>
    </row>
    <row r="18">
      <c r="A18" t="n">
        <v>825895</v>
      </c>
      <c r="B18" t="inlineStr">
        <is>
          <t>02-05-2026</t>
        </is>
      </c>
      <c r="C18" t="inlineStr">
        <is>
          <t>MG5</t>
        </is>
      </c>
      <c r="D18" t="inlineStr">
        <is>
          <t>GRAPPLE</t>
        </is>
      </c>
      <c r="E18" t="inlineStr">
        <is>
          <t>CE-27 ESPINALILLO YBAR</t>
        </is>
      </c>
      <c r="F18" t="inlineStr">
        <is>
          <t>PIRA</t>
        </is>
      </c>
      <c r="G18" t="n">
        <v>720</v>
      </c>
      <c r="H18" t="n">
        <v>0</v>
      </c>
      <c r="I18" t="n">
        <v>5</v>
      </c>
      <c r="J18" t="n">
        <v>17</v>
      </c>
      <c r="K18" t="n">
        <v>0</v>
      </c>
      <c r="L18" t="n">
        <v>12.92</v>
      </c>
      <c r="M18" t="n">
        <v>360</v>
      </c>
      <c r="N18" t="n">
        <v>360</v>
      </c>
      <c r="O18" t="n">
        <v>99.2</v>
      </c>
      <c r="P18" t="n">
        <v>2.58</v>
      </c>
    </row>
    <row r="19">
      <c r="A19" t="n">
        <v>825903</v>
      </c>
      <c r="B19" t="inlineStr">
        <is>
          <t>02-05-2026</t>
        </is>
      </c>
      <c r="C19" t="inlineStr">
        <is>
          <t>TEA08</t>
        </is>
      </c>
      <c r="D19" t="inlineStr">
        <is>
          <t>FORWINCH</t>
        </is>
      </c>
      <c r="E19" t="inlineStr">
        <is>
          <t>COIHUECO Y OTROS (BB)</t>
        </is>
      </c>
      <c r="F19" t="inlineStr">
        <is>
          <t>PIRA</t>
        </is>
      </c>
      <c r="G19" t="n">
        <v>720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660</v>
      </c>
      <c r="N19" t="n">
        <v>660</v>
      </c>
      <c r="O19" t="n">
        <v>98.5</v>
      </c>
      <c r="P19" t="n">
        <v>0</v>
      </c>
    </row>
    <row r="20">
      <c r="A20" t="n">
        <v>825903</v>
      </c>
      <c r="B20" t="inlineStr">
        <is>
          <t>02-05-2026</t>
        </is>
      </c>
      <c r="C20" t="inlineStr">
        <is>
          <t>TEA08</t>
        </is>
      </c>
      <c r="D20" t="inlineStr">
        <is>
          <t>FORWINCH</t>
        </is>
      </c>
      <c r="E20" t="inlineStr">
        <is>
          <t>COIHUECO Y OTROS (BB)</t>
        </is>
      </c>
      <c r="F20" t="inlineStr">
        <is>
          <t>PIRA</t>
        </is>
      </c>
      <c r="G20" t="n">
        <v>720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660</v>
      </c>
      <c r="N20" t="n">
        <v>660</v>
      </c>
      <c r="O20" t="n">
        <v>98.5</v>
      </c>
      <c r="P20" t="n">
        <v>0</v>
      </c>
    </row>
    <row r="21">
      <c r="A21" t="n">
        <v>825903</v>
      </c>
      <c r="B21" t="inlineStr">
        <is>
          <t>02-05-2026</t>
        </is>
      </c>
      <c r="C21" t="inlineStr">
        <is>
          <t>TEA08</t>
        </is>
      </c>
      <c r="D21" t="inlineStr">
        <is>
          <t>FORWINCH</t>
        </is>
      </c>
      <c r="E21" t="inlineStr">
        <is>
          <t>COIHUECO Y OTROS (BB)</t>
        </is>
      </c>
      <c r="F21" t="inlineStr">
        <is>
          <t>PIRA</t>
        </is>
      </c>
      <c r="G21" t="n">
        <v>720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660</v>
      </c>
      <c r="N21" t="n">
        <v>660</v>
      </c>
      <c r="O21" t="n">
        <v>98.5</v>
      </c>
      <c r="P21" t="n">
        <v>0</v>
      </c>
    </row>
    <row r="22">
      <c r="A22" t="n">
        <v>825903</v>
      </c>
      <c r="B22" t="inlineStr">
        <is>
          <t>02-05-2026</t>
        </is>
      </c>
      <c r="C22" t="inlineStr">
        <is>
          <t>TEA08</t>
        </is>
      </c>
      <c r="D22" t="inlineStr">
        <is>
          <t>FORWINCH</t>
        </is>
      </c>
      <c r="E22" t="inlineStr">
        <is>
          <t>COIHUECO Y OTROS (BB)</t>
        </is>
      </c>
      <c r="F22" t="inlineStr">
        <is>
          <t>PIRA</t>
        </is>
      </c>
      <c r="G22" t="n">
        <v>720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660</v>
      </c>
      <c r="N22" t="n">
        <v>660</v>
      </c>
      <c r="O22" t="n">
        <v>98.5</v>
      </c>
      <c r="P22" t="n">
        <v>0</v>
      </c>
    </row>
    <row r="23">
      <c r="A23" t="n">
        <v>825903</v>
      </c>
      <c r="B23" t="inlineStr">
        <is>
          <t>02-05-2026</t>
        </is>
      </c>
      <c r="C23" t="inlineStr">
        <is>
          <t>TEA08</t>
        </is>
      </c>
      <c r="D23" t="inlineStr">
        <is>
          <t>FORWINCH</t>
        </is>
      </c>
      <c r="E23" t="inlineStr">
        <is>
          <t>COIHUECO Y OTROS (BB)</t>
        </is>
      </c>
      <c r="F23" t="inlineStr">
        <is>
          <t>PIRA</t>
        </is>
      </c>
      <c r="G23" t="n">
        <v>720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660</v>
      </c>
      <c r="N23" t="n">
        <v>660</v>
      </c>
      <c r="O23" t="n">
        <v>98.5</v>
      </c>
      <c r="P23" t="n">
        <v>0</v>
      </c>
    </row>
    <row r="24">
      <c r="A24" t="n">
        <v>825903</v>
      </c>
      <c r="B24" t="inlineStr">
        <is>
          <t>02-05-2026</t>
        </is>
      </c>
      <c r="C24" t="inlineStr">
        <is>
          <t>TEA08</t>
        </is>
      </c>
      <c r="D24" t="inlineStr">
        <is>
          <t>FORWINCH</t>
        </is>
      </c>
      <c r="E24" t="inlineStr">
        <is>
          <t>COIHUECO Y OTROS (BB)</t>
        </is>
      </c>
      <c r="F24" t="inlineStr">
        <is>
          <t>PIRA</t>
        </is>
      </c>
      <c r="G24" t="n">
        <v>720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660</v>
      </c>
      <c r="N24" t="n">
        <v>660</v>
      </c>
      <c r="O24" t="n">
        <v>98.5</v>
      </c>
      <c r="P24" t="n">
        <v>0</v>
      </c>
    </row>
    <row r="25">
      <c r="A25" t="n">
        <v>825904</v>
      </c>
      <c r="B25" t="inlineStr">
        <is>
          <t>02-05-2026</t>
        </is>
      </c>
      <c r="C25" t="inlineStr">
        <is>
          <t>TEA02</t>
        </is>
      </c>
      <c r="D25" t="inlineStr">
        <is>
          <t>FORWINCH</t>
        </is>
      </c>
      <c r="E25" t="inlineStr">
        <is>
          <t>LO MARJU CBB</t>
        </is>
      </c>
      <c r="F25" t="inlineStr">
        <is>
          <t>EUGL</t>
        </is>
      </c>
      <c r="G25" t="n">
        <v>720</v>
      </c>
      <c r="H25" t="n">
        <v>0</v>
      </c>
      <c r="I25" t="n">
        <v>10.5</v>
      </c>
      <c r="J25" t="n">
        <v>78</v>
      </c>
      <c r="K25" t="n">
        <v>0</v>
      </c>
      <c r="L25" t="n">
        <v>32.86</v>
      </c>
      <c r="M25" t="n">
        <v>0</v>
      </c>
      <c r="N25" t="n">
        <v>30</v>
      </c>
      <c r="O25" t="n">
        <v>100</v>
      </c>
      <c r="P25" t="n">
        <v>3.13</v>
      </c>
    </row>
    <row r="26">
      <c r="A26" t="n">
        <v>825904</v>
      </c>
      <c r="B26" t="inlineStr">
        <is>
          <t>02-05-2026</t>
        </is>
      </c>
      <c r="C26" t="inlineStr">
        <is>
          <t>TEA02</t>
        </is>
      </c>
      <c r="D26" t="inlineStr">
        <is>
          <t>FORWINCH</t>
        </is>
      </c>
      <c r="E26" t="inlineStr">
        <is>
          <t>LO MARJU CBB</t>
        </is>
      </c>
      <c r="F26" t="inlineStr">
        <is>
          <t>PIRA</t>
        </is>
      </c>
      <c r="G26" t="n">
        <v>720</v>
      </c>
      <c r="H26" t="n">
        <v>0</v>
      </c>
      <c r="I26" t="n">
        <v>10.5</v>
      </c>
      <c r="J26" t="n">
        <v>78</v>
      </c>
      <c r="K26" t="n">
        <v>0</v>
      </c>
      <c r="L26" t="n">
        <v>80.94</v>
      </c>
      <c r="M26" t="n">
        <v>0</v>
      </c>
      <c r="N26" t="n">
        <v>30</v>
      </c>
      <c r="O26" t="n">
        <v>100</v>
      </c>
      <c r="P26" t="n">
        <v>7.71</v>
      </c>
    </row>
    <row r="27">
      <c r="A27" t="n">
        <v>825918</v>
      </c>
      <c r="B27" t="inlineStr">
        <is>
          <t>02-05-2026</t>
        </is>
      </c>
      <c r="C27" t="inlineStr">
        <is>
          <t>S246</t>
        </is>
      </c>
      <c r="D27" t="inlineStr">
        <is>
          <t>SKIDDER</t>
        </is>
      </c>
      <c r="E27" t="inlineStr">
        <is>
          <t>COIHUECO Y OTROS (BB)</t>
        </is>
      </c>
      <c r="F27" t="inlineStr">
        <is>
          <t>PIRA</t>
        </is>
      </c>
      <c r="G27" t="n">
        <v>720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600</v>
      </c>
      <c r="N27" t="n">
        <v>600</v>
      </c>
      <c r="O27" t="n">
        <v>98.59999999999999</v>
      </c>
      <c r="P27" t="n">
        <v>0</v>
      </c>
    </row>
    <row r="28">
      <c r="A28" t="n">
        <v>825918</v>
      </c>
      <c r="B28" t="inlineStr">
        <is>
          <t>02-05-2026</t>
        </is>
      </c>
      <c r="C28" t="inlineStr">
        <is>
          <t>S246</t>
        </is>
      </c>
      <c r="D28" t="inlineStr">
        <is>
          <t>SKIDDER</t>
        </is>
      </c>
      <c r="E28" t="inlineStr">
        <is>
          <t>COIHUECO Y OTROS (BB)</t>
        </is>
      </c>
      <c r="F28" t="inlineStr">
        <is>
          <t>PIRA</t>
        </is>
      </c>
      <c r="G28" t="n">
        <v>720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600</v>
      </c>
      <c r="N28" t="n">
        <v>600</v>
      </c>
      <c r="O28" t="n">
        <v>98.59999999999999</v>
      </c>
      <c r="P28" t="n">
        <v>0</v>
      </c>
    </row>
    <row r="29">
      <c r="A29" t="n">
        <v>825918</v>
      </c>
      <c r="B29" t="inlineStr">
        <is>
          <t>02-05-2026</t>
        </is>
      </c>
      <c r="C29" t="inlineStr">
        <is>
          <t>S246</t>
        </is>
      </c>
      <c r="D29" t="inlineStr">
        <is>
          <t>SKIDDER</t>
        </is>
      </c>
      <c r="E29" t="inlineStr">
        <is>
          <t>COIHUECO Y OTROS (BB)</t>
        </is>
      </c>
      <c r="F29" t="inlineStr">
        <is>
          <t>PIRA</t>
        </is>
      </c>
      <c r="G29" t="n">
        <v>720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600</v>
      </c>
      <c r="N29" t="n">
        <v>600</v>
      </c>
      <c r="O29" t="n">
        <v>98.59999999999999</v>
      </c>
      <c r="P29" t="n">
        <v>0</v>
      </c>
    </row>
    <row r="30">
      <c r="A30" t="n">
        <v>825918</v>
      </c>
      <c r="B30" t="inlineStr">
        <is>
          <t>02-05-2026</t>
        </is>
      </c>
      <c r="C30" t="inlineStr">
        <is>
          <t>S246</t>
        </is>
      </c>
      <c r="D30" t="inlineStr">
        <is>
          <t>SKIDDER</t>
        </is>
      </c>
      <c r="E30" t="inlineStr">
        <is>
          <t>COIHUECO Y OTROS (BB)</t>
        </is>
      </c>
      <c r="F30" t="inlineStr">
        <is>
          <t>PIRA</t>
        </is>
      </c>
      <c r="G30" t="n">
        <v>720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600</v>
      </c>
      <c r="N30" t="n">
        <v>600</v>
      </c>
      <c r="O30" t="n">
        <v>98.59999999999999</v>
      </c>
      <c r="P30" t="n">
        <v>0</v>
      </c>
    </row>
    <row r="31">
      <c r="A31" t="n">
        <v>825918</v>
      </c>
      <c r="B31" t="inlineStr">
        <is>
          <t>02-05-2026</t>
        </is>
      </c>
      <c r="C31" t="inlineStr">
        <is>
          <t>S246</t>
        </is>
      </c>
      <c r="D31" t="inlineStr">
        <is>
          <t>SKIDDER</t>
        </is>
      </c>
      <c r="E31" t="inlineStr">
        <is>
          <t>COIHUECO Y OTROS (BB)</t>
        </is>
      </c>
      <c r="F31" t="inlineStr">
        <is>
          <t>PIRA</t>
        </is>
      </c>
      <c r="G31" t="n">
        <v>720</v>
      </c>
      <c r="H31" t="n">
        <v>0</v>
      </c>
      <c r="I31" t="n">
        <v>1</v>
      </c>
      <c r="J31" t="n">
        <v>1</v>
      </c>
      <c r="K31" t="n">
        <v>0</v>
      </c>
      <c r="L31" t="n">
        <v>3.44</v>
      </c>
      <c r="M31" t="n">
        <v>600</v>
      </c>
      <c r="N31" t="n">
        <v>600</v>
      </c>
      <c r="O31" t="n">
        <v>98.59999999999999</v>
      </c>
      <c r="P31" t="n">
        <v>3.44</v>
      </c>
    </row>
    <row r="32">
      <c r="A32" t="n">
        <v>825918</v>
      </c>
      <c r="B32" t="inlineStr">
        <is>
          <t>02-05-2026</t>
        </is>
      </c>
      <c r="C32" t="inlineStr">
        <is>
          <t>S246</t>
        </is>
      </c>
      <c r="D32" t="inlineStr">
        <is>
          <t>SKIDDER</t>
        </is>
      </c>
      <c r="E32" t="inlineStr">
        <is>
          <t>COIHUECO Y OTROS (BB)</t>
        </is>
      </c>
      <c r="F32" t="inlineStr">
        <is>
          <t>PIRA</t>
        </is>
      </c>
      <c r="G32" t="n">
        <v>720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600</v>
      </c>
      <c r="N32" t="n">
        <v>600</v>
      </c>
      <c r="O32" t="n">
        <v>98.59999999999999</v>
      </c>
      <c r="P32" t="n">
        <v>0</v>
      </c>
    </row>
    <row r="33">
      <c r="A33" t="n">
        <v>825918</v>
      </c>
      <c r="B33" t="inlineStr">
        <is>
          <t>02-05-2026</t>
        </is>
      </c>
      <c r="C33" t="inlineStr">
        <is>
          <t>S246</t>
        </is>
      </c>
      <c r="D33" t="inlineStr">
        <is>
          <t>SKIDDER</t>
        </is>
      </c>
      <c r="E33" t="inlineStr">
        <is>
          <t>COIHUECO Y OTROS (BB)</t>
        </is>
      </c>
      <c r="F33" t="inlineStr">
        <is>
          <t>PIRA</t>
        </is>
      </c>
      <c r="G33" t="n">
        <v>720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600</v>
      </c>
      <c r="N33" t="n">
        <v>600</v>
      </c>
      <c r="O33" t="n">
        <v>98.59999999999999</v>
      </c>
      <c r="P33" t="n">
        <v>0</v>
      </c>
    </row>
    <row r="34">
      <c r="A34" t="n">
        <v>825918</v>
      </c>
      <c r="B34" t="inlineStr">
        <is>
          <t>02-05-2026</t>
        </is>
      </c>
      <c r="C34" t="inlineStr">
        <is>
          <t>S246</t>
        </is>
      </c>
      <c r="D34" t="inlineStr">
        <is>
          <t>SKIDDER</t>
        </is>
      </c>
      <c r="E34" t="inlineStr">
        <is>
          <t>COIHUECO Y OTROS (BB)</t>
        </is>
      </c>
      <c r="F34" t="inlineStr">
        <is>
          <t>PIRA</t>
        </is>
      </c>
      <c r="G34" t="n">
        <v>720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600</v>
      </c>
      <c r="N34" t="n">
        <v>600</v>
      </c>
      <c r="O34" t="n">
        <v>98.59999999999999</v>
      </c>
      <c r="P34" t="n">
        <v>0</v>
      </c>
    </row>
    <row r="35">
      <c r="A35" t="n">
        <v>825918</v>
      </c>
      <c r="B35" t="inlineStr">
        <is>
          <t>02-05-2026</t>
        </is>
      </c>
      <c r="C35" t="inlineStr">
        <is>
          <t>S246</t>
        </is>
      </c>
      <c r="D35" t="inlineStr">
        <is>
          <t>SKIDDER</t>
        </is>
      </c>
      <c r="E35" t="inlineStr">
        <is>
          <t>COIHUECO Y OTROS (BB)</t>
        </is>
      </c>
      <c r="F35" t="inlineStr">
        <is>
          <t>PIRA</t>
        </is>
      </c>
      <c r="G35" t="n">
        <v>720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600</v>
      </c>
      <c r="N35" t="n">
        <v>600</v>
      </c>
      <c r="O35" t="n">
        <v>98.59999999999999</v>
      </c>
      <c r="P35" t="n">
        <v>0</v>
      </c>
    </row>
    <row r="36">
      <c r="A36" t="n">
        <v>825924</v>
      </c>
      <c r="B36" t="inlineStr">
        <is>
          <t>02-05-2026</t>
        </is>
      </c>
      <c r="C36" t="inlineStr">
        <is>
          <t>S223</t>
        </is>
      </c>
      <c r="D36" t="inlineStr">
        <is>
          <t>SKIDDER</t>
        </is>
      </c>
      <c r="E36" t="inlineStr">
        <is>
          <t>LAS ULLOAS (BB)</t>
        </is>
      </c>
      <c r="F36" t="inlineStr">
        <is>
          <t>PIRA</t>
        </is>
      </c>
      <c r="G36" t="n">
        <v>720</v>
      </c>
      <c r="H36" t="n">
        <v>0</v>
      </c>
      <c r="I36" t="n">
        <v>6</v>
      </c>
      <c r="J36" t="n">
        <v>26</v>
      </c>
      <c r="K36" t="n">
        <v>0</v>
      </c>
      <c r="L36" t="n">
        <v>13.56</v>
      </c>
      <c r="M36" t="n">
        <v>300</v>
      </c>
      <c r="N36" t="n">
        <v>300</v>
      </c>
      <c r="O36" t="n">
        <v>99.3</v>
      </c>
      <c r="P36" t="n">
        <v>2.26</v>
      </c>
    </row>
    <row r="37">
      <c r="A37" t="n">
        <v>825924</v>
      </c>
      <c r="B37" t="inlineStr">
        <is>
          <t>02-05-2026</t>
        </is>
      </c>
      <c r="C37" t="inlineStr">
        <is>
          <t>S223</t>
        </is>
      </c>
      <c r="D37" t="inlineStr">
        <is>
          <t>SKIDDER</t>
        </is>
      </c>
      <c r="E37" t="inlineStr">
        <is>
          <t>LAS ULLOAS (BB)</t>
        </is>
      </c>
      <c r="F37" t="inlineStr">
        <is>
          <t>PIRA</t>
        </is>
      </c>
      <c r="G37" t="n">
        <v>720</v>
      </c>
      <c r="H37" t="n">
        <v>0</v>
      </c>
      <c r="I37" t="n">
        <v>6</v>
      </c>
      <c r="J37" t="n">
        <v>26</v>
      </c>
      <c r="K37" t="n">
        <v>0</v>
      </c>
      <c r="L37" t="n">
        <v>8</v>
      </c>
      <c r="M37" t="n">
        <v>300</v>
      </c>
      <c r="N37" t="n">
        <v>300</v>
      </c>
      <c r="O37" t="n">
        <v>99.3</v>
      </c>
      <c r="P37" t="n">
        <v>1.33</v>
      </c>
    </row>
    <row r="38">
      <c r="A38" t="n">
        <v>825924</v>
      </c>
      <c r="B38" t="inlineStr">
        <is>
          <t>02-05-2026</t>
        </is>
      </c>
      <c r="C38" t="inlineStr">
        <is>
          <t>S223</t>
        </is>
      </c>
      <c r="D38" t="inlineStr">
        <is>
          <t>SKIDDER</t>
        </is>
      </c>
      <c r="E38" t="inlineStr">
        <is>
          <t>LAS ULLOAS (BB)</t>
        </is>
      </c>
      <c r="F38" t="inlineStr">
        <is>
          <t>PIRA</t>
        </is>
      </c>
      <c r="G38" t="n">
        <v>720</v>
      </c>
      <c r="H38" t="n">
        <v>0</v>
      </c>
      <c r="I38" t="n">
        <v>6</v>
      </c>
      <c r="J38" t="n">
        <v>26</v>
      </c>
      <c r="K38" t="n">
        <v>0</v>
      </c>
      <c r="L38" t="n">
        <v>77.89</v>
      </c>
      <c r="M38" t="n">
        <v>300</v>
      </c>
      <c r="N38" t="n">
        <v>300</v>
      </c>
      <c r="O38" t="n">
        <v>99.3</v>
      </c>
      <c r="P38" t="n">
        <v>12.98</v>
      </c>
    </row>
    <row r="39">
      <c r="A39" t="n">
        <v>825924</v>
      </c>
      <c r="B39" t="inlineStr">
        <is>
          <t>02-05-2026</t>
        </is>
      </c>
      <c r="C39" t="inlineStr">
        <is>
          <t>S223</t>
        </is>
      </c>
      <c r="D39" t="inlineStr">
        <is>
          <t>SKIDDER</t>
        </is>
      </c>
      <c r="E39" t="inlineStr">
        <is>
          <t>LAS ULLOAS (BB)</t>
        </is>
      </c>
      <c r="F39" t="inlineStr">
        <is>
          <t>PIRA</t>
        </is>
      </c>
      <c r="G39" t="n">
        <v>720</v>
      </c>
      <c r="H39" t="n">
        <v>0</v>
      </c>
      <c r="I39" t="n">
        <v>6</v>
      </c>
      <c r="J39" t="n">
        <v>26</v>
      </c>
      <c r="K39" t="n">
        <v>0</v>
      </c>
      <c r="L39" t="n">
        <v>59.46</v>
      </c>
      <c r="M39" t="n">
        <v>300</v>
      </c>
      <c r="N39" t="n">
        <v>300</v>
      </c>
      <c r="O39" t="n">
        <v>99.3</v>
      </c>
      <c r="P39" t="n">
        <v>9.91</v>
      </c>
    </row>
    <row r="40">
      <c r="A40" t="n">
        <v>825939</v>
      </c>
      <c r="B40" t="inlineStr">
        <is>
          <t>02-05-2026</t>
        </is>
      </c>
      <c r="C40" t="inlineStr">
        <is>
          <t>T125</t>
        </is>
      </c>
      <c r="D40" t="inlineStr">
        <is>
          <t>TORRE500</t>
        </is>
      </c>
      <c r="E40" t="inlineStr">
        <is>
          <t>POLHUIN</t>
        </is>
      </c>
      <c r="F40" t="inlineStr">
        <is>
          <t>EUGL</t>
        </is>
      </c>
      <c r="G40" t="n">
        <v>720</v>
      </c>
      <c r="H40" t="n">
        <v>0</v>
      </c>
      <c r="I40" t="n">
        <v>9</v>
      </c>
      <c r="J40" t="n">
        <v>112</v>
      </c>
      <c r="K40" t="n">
        <v>0</v>
      </c>
      <c r="L40" t="n">
        <v>181</v>
      </c>
      <c r="M40" t="n">
        <v>0</v>
      </c>
      <c r="N40" t="n">
        <v>120</v>
      </c>
      <c r="O40" t="n">
        <v>100</v>
      </c>
      <c r="P40" t="n">
        <v>20.11</v>
      </c>
    </row>
    <row r="41">
      <c r="A41" t="n">
        <v>825946</v>
      </c>
      <c r="B41" t="inlineStr">
        <is>
          <t>02-05-2026</t>
        </is>
      </c>
      <c r="C41" t="inlineStr">
        <is>
          <t>S58</t>
        </is>
      </c>
      <c r="D41" t="inlineStr">
        <is>
          <t>SKIDDER</t>
        </is>
      </c>
      <c r="E41" t="inlineStr">
        <is>
          <t>COIHUECO Y OTROS (BB)</t>
        </is>
      </c>
      <c r="F41" t="inlineStr">
        <is>
          <t>PIRA</t>
        </is>
      </c>
      <c r="G41" t="n">
        <v>660</v>
      </c>
      <c r="H41" t="n">
        <v>0</v>
      </c>
      <c r="I41" t="n">
        <v>8</v>
      </c>
      <c r="J41" t="n">
        <v>63</v>
      </c>
      <c r="K41" t="n">
        <v>0</v>
      </c>
      <c r="L41" t="n">
        <v>5.98</v>
      </c>
      <c r="M41" t="n">
        <v>0</v>
      </c>
      <c r="N41" t="n">
        <v>120</v>
      </c>
      <c r="O41" t="n">
        <v>100</v>
      </c>
      <c r="P41" t="n">
        <v>0.75</v>
      </c>
    </row>
    <row r="42">
      <c r="A42" t="n">
        <v>825946</v>
      </c>
      <c r="B42" t="inlineStr">
        <is>
          <t>02-05-2026</t>
        </is>
      </c>
      <c r="C42" t="inlineStr">
        <is>
          <t>S58</t>
        </is>
      </c>
      <c r="D42" t="inlineStr">
        <is>
          <t>SKIDDER</t>
        </is>
      </c>
      <c r="E42" t="inlineStr">
        <is>
          <t>COIHUECO Y OTROS (BB)</t>
        </is>
      </c>
      <c r="F42" t="inlineStr">
        <is>
          <t>PIRA</t>
        </is>
      </c>
      <c r="G42" t="n">
        <v>660</v>
      </c>
      <c r="H42" t="n">
        <v>0</v>
      </c>
      <c r="I42" t="n">
        <v>8</v>
      </c>
      <c r="J42" t="n">
        <v>63</v>
      </c>
      <c r="K42" t="n">
        <v>0</v>
      </c>
      <c r="L42" t="n">
        <v>22.95</v>
      </c>
      <c r="M42" t="n">
        <v>0</v>
      </c>
      <c r="N42" t="n">
        <v>120</v>
      </c>
      <c r="O42" t="n">
        <v>100</v>
      </c>
      <c r="P42" t="n">
        <v>2.87</v>
      </c>
    </row>
    <row r="43">
      <c r="A43" t="n">
        <v>825946</v>
      </c>
      <c r="B43" t="inlineStr">
        <is>
          <t>02-05-2026</t>
        </is>
      </c>
      <c r="C43" t="inlineStr">
        <is>
          <t>S58</t>
        </is>
      </c>
      <c r="D43" t="inlineStr">
        <is>
          <t>SKIDDER</t>
        </is>
      </c>
      <c r="E43" t="inlineStr">
        <is>
          <t>COIHUECO Y OTROS (BB)</t>
        </is>
      </c>
      <c r="F43" t="inlineStr">
        <is>
          <t>PIRA</t>
        </is>
      </c>
      <c r="G43" t="n">
        <v>660</v>
      </c>
      <c r="H43" t="n">
        <v>0</v>
      </c>
      <c r="I43" t="n">
        <v>8</v>
      </c>
      <c r="J43" t="n">
        <v>63</v>
      </c>
      <c r="K43" t="n">
        <v>0</v>
      </c>
      <c r="L43" t="n">
        <v>7.8</v>
      </c>
      <c r="M43" t="n">
        <v>0</v>
      </c>
      <c r="N43" t="n">
        <v>120</v>
      </c>
      <c r="O43" t="n">
        <v>100</v>
      </c>
      <c r="P43" t="n">
        <v>0.98</v>
      </c>
    </row>
    <row r="44">
      <c r="A44" t="n">
        <v>825946</v>
      </c>
      <c r="B44" t="inlineStr">
        <is>
          <t>02-05-2026</t>
        </is>
      </c>
      <c r="C44" t="inlineStr">
        <is>
          <t>S58</t>
        </is>
      </c>
      <c r="D44" t="inlineStr">
        <is>
          <t>SKIDDER</t>
        </is>
      </c>
      <c r="E44" t="inlineStr">
        <is>
          <t>COIHUECO Y OTROS (BB)</t>
        </is>
      </c>
      <c r="F44" t="inlineStr">
        <is>
          <t>PIRA</t>
        </is>
      </c>
      <c r="G44" t="n">
        <v>660</v>
      </c>
      <c r="H44" t="n">
        <v>0</v>
      </c>
      <c r="I44" t="n">
        <v>8</v>
      </c>
      <c r="J44" t="n">
        <v>63</v>
      </c>
      <c r="K44" t="n">
        <v>0</v>
      </c>
      <c r="L44" t="n">
        <v>8.880000000000001</v>
      </c>
      <c r="M44" t="n">
        <v>0</v>
      </c>
      <c r="N44" t="n">
        <v>120</v>
      </c>
      <c r="O44" t="n">
        <v>100</v>
      </c>
      <c r="P44" t="n">
        <v>1.11</v>
      </c>
    </row>
    <row r="45">
      <c r="A45" t="n">
        <v>825946</v>
      </c>
      <c r="B45" t="inlineStr">
        <is>
          <t>02-05-2026</t>
        </is>
      </c>
      <c r="C45" t="inlineStr">
        <is>
          <t>S58</t>
        </is>
      </c>
      <c r="D45" t="inlineStr">
        <is>
          <t>SKIDDER</t>
        </is>
      </c>
      <c r="E45" t="inlineStr">
        <is>
          <t>COIHUECO Y OTROS (BB)</t>
        </is>
      </c>
      <c r="F45" t="inlineStr">
        <is>
          <t>PIRA</t>
        </is>
      </c>
      <c r="G45" t="n">
        <v>660</v>
      </c>
      <c r="H45" t="n">
        <v>0</v>
      </c>
      <c r="I45" t="n">
        <v>8</v>
      </c>
      <c r="J45" t="n">
        <v>63</v>
      </c>
      <c r="K45" t="n">
        <v>0</v>
      </c>
      <c r="L45" t="n">
        <v>57.35</v>
      </c>
      <c r="M45" t="n">
        <v>0</v>
      </c>
      <c r="N45" t="n">
        <v>120</v>
      </c>
      <c r="O45" t="n">
        <v>100</v>
      </c>
      <c r="P45" t="n">
        <v>7.17</v>
      </c>
    </row>
    <row r="46">
      <c r="A46" t="n">
        <v>825946</v>
      </c>
      <c r="B46" t="inlineStr">
        <is>
          <t>02-05-2026</t>
        </is>
      </c>
      <c r="C46" t="inlineStr">
        <is>
          <t>S58</t>
        </is>
      </c>
      <c r="D46" t="inlineStr">
        <is>
          <t>SKIDDER</t>
        </is>
      </c>
      <c r="E46" t="inlineStr">
        <is>
          <t>COIHUECO Y OTROS (BB)</t>
        </is>
      </c>
      <c r="F46" t="inlineStr">
        <is>
          <t>PIRA</t>
        </is>
      </c>
      <c r="G46" t="n">
        <v>660</v>
      </c>
      <c r="H46" t="n">
        <v>0</v>
      </c>
      <c r="I46" t="n">
        <v>8</v>
      </c>
      <c r="J46" t="n">
        <v>63</v>
      </c>
      <c r="K46" t="n">
        <v>0</v>
      </c>
      <c r="L46" t="n">
        <v>12.82</v>
      </c>
      <c r="M46" t="n">
        <v>0</v>
      </c>
      <c r="N46" t="n">
        <v>120</v>
      </c>
      <c r="O46" t="n">
        <v>100</v>
      </c>
      <c r="P46" t="n">
        <v>1.6</v>
      </c>
    </row>
    <row r="47">
      <c r="A47" t="n">
        <v>825946</v>
      </c>
      <c r="B47" t="inlineStr">
        <is>
          <t>02-05-2026</t>
        </is>
      </c>
      <c r="C47" t="inlineStr">
        <is>
          <t>S58</t>
        </is>
      </c>
      <c r="D47" t="inlineStr">
        <is>
          <t>SKIDDER</t>
        </is>
      </c>
      <c r="E47" t="inlineStr">
        <is>
          <t>COIHUECO Y OTROS (BB)</t>
        </is>
      </c>
      <c r="F47" t="inlineStr">
        <is>
          <t>PIRA</t>
        </is>
      </c>
      <c r="G47" t="n">
        <v>660</v>
      </c>
      <c r="H47" t="n">
        <v>0</v>
      </c>
      <c r="I47" t="n">
        <v>8</v>
      </c>
      <c r="J47" t="n">
        <v>63</v>
      </c>
      <c r="K47" t="n">
        <v>0</v>
      </c>
      <c r="L47" t="n">
        <v>24.79</v>
      </c>
      <c r="M47" t="n">
        <v>0</v>
      </c>
      <c r="N47" t="n">
        <v>120</v>
      </c>
      <c r="O47" t="n">
        <v>100</v>
      </c>
      <c r="P47" t="n">
        <v>3.1</v>
      </c>
    </row>
    <row r="48">
      <c r="A48" t="n">
        <v>825946</v>
      </c>
      <c r="B48" t="inlineStr">
        <is>
          <t>02-05-2026</t>
        </is>
      </c>
      <c r="C48" t="inlineStr">
        <is>
          <t>S58</t>
        </is>
      </c>
      <c r="D48" t="inlineStr">
        <is>
          <t>SKIDDER</t>
        </is>
      </c>
      <c r="E48" t="inlineStr">
        <is>
          <t>COIHUECO Y OTROS (BB)</t>
        </is>
      </c>
      <c r="F48" t="inlineStr">
        <is>
          <t>PIRA</t>
        </is>
      </c>
      <c r="G48" t="n">
        <v>660</v>
      </c>
      <c r="H48" t="n">
        <v>0</v>
      </c>
      <c r="I48" t="n">
        <v>8</v>
      </c>
      <c r="J48" t="n">
        <v>63</v>
      </c>
      <c r="K48" t="n">
        <v>0</v>
      </c>
      <c r="L48" t="n">
        <v>22.76</v>
      </c>
      <c r="M48" t="n">
        <v>0</v>
      </c>
      <c r="N48" t="n">
        <v>120</v>
      </c>
      <c r="O48" t="n">
        <v>100</v>
      </c>
      <c r="P48" t="n">
        <v>2.85</v>
      </c>
    </row>
    <row r="49">
      <c r="A49" t="n">
        <v>825948</v>
      </c>
      <c r="B49" t="inlineStr">
        <is>
          <t>02-05-2026</t>
        </is>
      </c>
      <c r="C49" t="inlineStr">
        <is>
          <t>S58</t>
        </is>
      </c>
      <c r="D49" t="inlineStr">
        <is>
          <t>SKIDDER</t>
        </is>
      </c>
      <c r="E49" t="inlineStr">
        <is>
          <t>COIHUECO Y OTROS (BB)</t>
        </is>
      </c>
      <c r="F49" t="inlineStr">
        <is>
          <t>PIRA</t>
        </is>
      </c>
      <c r="G49" t="n">
        <v>60</v>
      </c>
      <c r="H49" t="n">
        <v>0</v>
      </c>
      <c r="I49" t="n">
        <v>1</v>
      </c>
      <c r="J49" t="n">
        <v>12</v>
      </c>
      <c r="K49" t="n">
        <v>0</v>
      </c>
      <c r="L49" t="n">
        <v>51.3</v>
      </c>
      <c r="M49" t="n">
        <v>0</v>
      </c>
      <c r="N49" t="n">
        <v>0</v>
      </c>
      <c r="O49" t="n">
        <v>100</v>
      </c>
      <c r="P49" t="n">
        <v>51.3</v>
      </c>
    </row>
    <row r="50">
      <c r="A50" t="n">
        <v>826002</v>
      </c>
      <c r="B50" t="inlineStr">
        <is>
          <t>03-05-2026</t>
        </is>
      </c>
      <c r="C50" t="inlineStr">
        <is>
          <t>S123</t>
        </is>
      </c>
      <c r="D50" t="inlineStr">
        <is>
          <t>SKIDDER</t>
        </is>
      </c>
      <c r="E50" t="inlineStr">
        <is>
          <t>EL CABRITO CBB</t>
        </is>
      </c>
      <c r="F50" t="inlineStr">
        <is>
          <t>PIRA</t>
        </is>
      </c>
      <c r="G50" t="n">
        <v>540</v>
      </c>
      <c r="H50" t="n">
        <v>0</v>
      </c>
      <c r="I50" t="n">
        <v>6.5</v>
      </c>
      <c r="J50" t="n">
        <v>41</v>
      </c>
      <c r="K50" t="n">
        <v>0</v>
      </c>
      <c r="L50" t="n">
        <v>0</v>
      </c>
      <c r="M50" t="n">
        <v>120</v>
      </c>
      <c r="N50" t="n">
        <v>120</v>
      </c>
      <c r="O50" t="n">
        <v>99.59999999999999</v>
      </c>
      <c r="P50" t="n">
        <v>0</v>
      </c>
    </row>
    <row r="51">
      <c r="A51" t="n">
        <v>826002</v>
      </c>
      <c r="B51" t="inlineStr">
        <is>
          <t>03-05-2026</t>
        </is>
      </c>
      <c r="C51" t="inlineStr">
        <is>
          <t>S123</t>
        </is>
      </c>
      <c r="D51" t="inlineStr">
        <is>
          <t>SKIDDER</t>
        </is>
      </c>
      <c r="E51" t="inlineStr">
        <is>
          <t>EL CABRITO CBB</t>
        </is>
      </c>
      <c r="F51" t="inlineStr">
        <is>
          <t>PIRA</t>
        </is>
      </c>
      <c r="G51" t="n">
        <v>540</v>
      </c>
      <c r="H51" t="n">
        <v>0</v>
      </c>
      <c r="I51" t="n">
        <v>6.5</v>
      </c>
      <c r="J51" t="n">
        <v>41</v>
      </c>
      <c r="K51" t="n">
        <v>0</v>
      </c>
      <c r="L51" t="n">
        <v>25.04</v>
      </c>
      <c r="M51" t="n">
        <v>120</v>
      </c>
      <c r="N51" t="n">
        <v>120</v>
      </c>
      <c r="O51" t="n">
        <v>99.59999999999999</v>
      </c>
      <c r="P51" t="n">
        <v>3.85</v>
      </c>
    </row>
    <row r="52">
      <c r="A52" t="n">
        <v>826002</v>
      </c>
      <c r="B52" t="inlineStr">
        <is>
          <t>03-05-2026</t>
        </is>
      </c>
      <c r="C52" t="inlineStr">
        <is>
          <t>S123</t>
        </is>
      </c>
      <c r="D52" t="inlineStr">
        <is>
          <t>SKIDDER</t>
        </is>
      </c>
      <c r="E52" t="inlineStr">
        <is>
          <t>EL CABRITO CBB</t>
        </is>
      </c>
      <c r="F52" t="inlineStr">
        <is>
          <t>PIRA</t>
        </is>
      </c>
      <c r="G52" t="n">
        <v>540</v>
      </c>
      <c r="H52" t="n">
        <v>0</v>
      </c>
      <c r="I52" t="n">
        <v>6.5</v>
      </c>
      <c r="J52" t="n">
        <v>41</v>
      </c>
      <c r="K52" t="n">
        <v>0</v>
      </c>
      <c r="L52" t="n">
        <v>44.32</v>
      </c>
      <c r="M52" t="n">
        <v>120</v>
      </c>
      <c r="N52" t="n">
        <v>120</v>
      </c>
      <c r="O52" t="n">
        <v>99.59999999999999</v>
      </c>
      <c r="P52" t="n">
        <v>6.82</v>
      </c>
    </row>
    <row r="53">
      <c r="A53" t="n">
        <v>826002</v>
      </c>
      <c r="B53" t="inlineStr">
        <is>
          <t>03-05-2026</t>
        </is>
      </c>
      <c r="C53" t="inlineStr">
        <is>
          <t>S123</t>
        </is>
      </c>
      <c r="D53" t="inlineStr">
        <is>
          <t>SKIDDER</t>
        </is>
      </c>
      <c r="E53" t="inlineStr">
        <is>
          <t>EL CABRITO CBB</t>
        </is>
      </c>
      <c r="F53" t="inlineStr">
        <is>
          <t>PIRA</t>
        </is>
      </c>
      <c r="G53" t="n">
        <v>540</v>
      </c>
      <c r="H53" t="n">
        <v>0</v>
      </c>
      <c r="I53" t="n">
        <v>6.5</v>
      </c>
      <c r="J53" t="n">
        <v>41</v>
      </c>
      <c r="K53" t="n">
        <v>0</v>
      </c>
      <c r="L53" t="n">
        <v>2.44</v>
      </c>
      <c r="M53" t="n">
        <v>120</v>
      </c>
      <c r="N53" t="n">
        <v>120</v>
      </c>
      <c r="O53" t="n">
        <v>99.59999999999999</v>
      </c>
      <c r="P53" t="n">
        <v>0.38</v>
      </c>
    </row>
    <row r="54">
      <c r="A54" t="n">
        <v>826002</v>
      </c>
      <c r="B54" t="inlineStr">
        <is>
          <t>03-05-2026</t>
        </is>
      </c>
      <c r="C54" t="inlineStr">
        <is>
          <t>S123</t>
        </is>
      </c>
      <c r="D54" t="inlineStr">
        <is>
          <t>SKIDDER</t>
        </is>
      </c>
      <c r="E54" t="inlineStr">
        <is>
          <t>EL CABRITO CBB</t>
        </is>
      </c>
      <c r="F54" t="inlineStr">
        <is>
          <t>PIRA</t>
        </is>
      </c>
      <c r="G54" t="n">
        <v>540</v>
      </c>
      <c r="H54" t="n">
        <v>0</v>
      </c>
      <c r="I54" t="n">
        <v>6.5</v>
      </c>
      <c r="J54" t="n">
        <v>41</v>
      </c>
      <c r="K54" t="n">
        <v>0</v>
      </c>
      <c r="L54" t="n">
        <v>11.45</v>
      </c>
      <c r="M54" t="n">
        <v>120</v>
      </c>
      <c r="N54" t="n">
        <v>120</v>
      </c>
      <c r="O54" t="n">
        <v>99.59999999999999</v>
      </c>
      <c r="P54" t="n">
        <v>1.76</v>
      </c>
    </row>
    <row r="55">
      <c r="A55" t="n">
        <v>826002</v>
      </c>
      <c r="B55" t="inlineStr">
        <is>
          <t>03-05-2026</t>
        </is>
      </c>
      <c r="C55" t="inlineStr">
        <is>
          <t>S123</t>
        </is>
      </c>
      <c r="D55" t="inlineStr">
        <is>
          <t>SKIDDER</t>
        </is>
      </c>
      <c r="E55" t="inlineStr">
        <is>
          <t>EL CABRITO CBB</t>
        </is>
      </c>
      <c r="F55" t="inlineStr">
        <is>
          <t>PIRA</t>
        </is>
      </c>
      <c r="G55" t="n">
        <v>540</v>
      </c>
      <c r="H55" t="n">
        <v>0</v>
      </c>
      <c r="I55" t="n">
        <v>6.5</v>
      </c>
      <c r="J55" t="n">
        <v>41</v>
      </c>
      <c r="K55" t="n">
        <v>0</v>
      </c>
      <c r="L55" t="n">
        <v>66.52</v>
      </c>
      <c r="M55" t="n">
        <v>120</v>
      </c>
      <c r="N55" t="n">
        <v>120</v>
      </c>
      <c r="O55" t="n">
        <v>99.59999999999999</v>
      </c>
      <c r="P55" t="n">
        <v>10.23</v>
      </c>
    </row>
    <row r="56">
      <c r="A56" t="n">
        <v>826002</v>
      </c>
      <c r="B56" t="inlineStr">
        <is>
          <t>03-05-2026</t>
        </is>
      </c>
      <c r="C56" t="inlineStr">
        <is>
          <t>S123</t>
        </is>
      </c>
      <c r="D56" t="inlineStr">
        <is>
          <t>SKIDDER</t>
        </is>
      </c>
      <c r="E56" t="inlineStr">
        <is>
          <t>EL CABRITO CBB</t>
        </is>
      </c>
      <c r="F56" t="inlineStr">
        <is>
          <t>PIRA</t>
        </is>
      </c>
      <c r="G56" t="n">
        <v>540</v>
      </c>
      <c r="H56" t="n">
        <v>0</v>
      </c>
      <c r="I56" t="n">
        <v>6.5</v>
      </c>
      <c r="J56" t="n">
        <v>41</v>
      </c>
      <c r="K56" t="n">
        <v>0</v>
      </c>
      <c r="L56" t="n">
        <v>40.42</v>
      </c>
      <c r="M56" t="n">
        <v>120</v>
      </c>
      <c r="N56" t="n">
        <v>120</v>
      </c>
      <c r="O56" t="n">
        <v>99.59999999999999</v>
      </c>
      <c r="P56" t="n">
        <v>6.22</v>
      </c>
    </row>
    <row r="57">
      <c r="A57" t="n">
        <v>826002</v>
      </c>
      <c r="B57" t="inlineStr">
        <is>
          <t>03-05-2026</t>
        </is>
      </c>
      <c r="C57" t="inlineStr">
        <is>
          <t>S123</t>
        </is>
      </c>
      <c r="D57" t="inlineStr">
        <is>
          <t>SKIDDER</t>
        </is>
      </c>
      <c r="E57" t="inlineStr">
        <is>
          <t>EL CABRITO CBB</t>
        </is>
      </c>
      <c r="F57" t="inlineStr">
        <is>
          <t>PIRA</t>
        </is>
      </c>
      <c r="G57" t="n">
        <v>540</v>
      </c>
      <c r="H57" t="n">
        <v>0</v>
      </c>
      <c r="I57" t="n">
        <v>6.5</v>
      </c>
      <c r="J57" t="n">
        <v>41</v>
      </c>
      <c r="K57" t="n">
        <v>0</v>
      </c>
      <c r="L57" t="n">
        <v>0</v>
      </c>
      <c r="M57" t="n">
        <v>120</v>
      </c>
      <c r="N57" t="n">
        <v>120</v>
      </c>
      <c r="O57" t="n">
        <v>99.59999999999999</v>
      </c>
      <c r="P57" t="n">
        <v>0</v>
      </c>
    </row>
    <row r="58">
      <c r="A58" t="n">
        <v>826002</v>
      </c>
      <c r="B58" t="inlineStr">
        <is>
          <t>03-05-2026</t>
        </is>
      </c>
      <c r="C58" t="inlineStr">
        <is>
          <t>S123</t>
        </is>
      </c>
      <c r="D58" t="inlineStr">
        <is>
          <t>SKIDDER</t>
        </is>
      </c>
      <c r="E58" t="inlineStr">
        <is>
          <t>EL CABRITO CBB</t>
        </is>
      </c>
      <c r="F58" t="inlineStr">
        <is>
          <t>PIRA</t>
        </is>
      </c>
      <c r="G58" t="n">
        <v>540</v>
      </c>
      <c r="H58" t="n">
        <v>0</v>
      </c>
      <c r="I58" t="n">
        <v>6.5</v>
      </c>
      <c r="J58" t="n">
        <v>41</v>
      </c>
      <c r="K58" t="n">
        <v>0</v>
      </c>
      <c r="L58" t="n">
        <v>7.59</v>
      </c>
      <c r="M58" t="n">
        <v>120</v>
      </c>
      <c r="N58" t="n">
        <v>120</v>
      </c>
      <c r="O58" t="n">
        <v>99.59999999999999</v>
      </c>
      <c r="P58" t="n">
        <v>1.17</v>
      </c>
    </row>
    <row r="59">
      <c r="A59" t="n">
        <v>826003</v>
      </c>
      <c r="B59" t="inlineStr">
        <is>
          <t>03-05-2026</t>
        </is>
      </c>
      <c r="C59" t="inlineStr">
        <is>
          <t>S123</t>
        </is>
      </c>
      <c r="D59" t="inlineStr">
        <is>
          <t>SKIDDER</t>
        </is>
      </c>
      <c r="E59" t="inlineStr">
        <is>
          <t>EL CABRITO CBB</t>
        </is>
      </c>
      <c r="F59" t="inlineStr">
        <is>
          <t>PIRA</t>
        </is>
      </c>
      <c r="G59" t="n">
        <v>180</v>
      </c>
      <c r="H59" t="n">
        <v>0</v>
      </c>
      <c r="I59" t="n">
        <v>1.5</v>
      </c>
      <c r="J59" t="n">
        <v>17</v>
      </c>
      <c r="K59" t="n">
        <v>0</v>
      </c>
      <c r="L59" t="n">
        <v>18.32</v>
      </c>
      <c r="M59" t="n">
        <v>60</v>
      </c>
      <c r="N59" t="n">
        <v>60</v>
      </c>
      <c r="O59" t="n">
        <v>99.40000000000001</v>
      </c>
      <c r="P59" t="n">
        <v>12.22</v>
      </c>
    </row>
    <row r="60">
      <c r="A60" t="n">
        <v>826003</v>
      </c>
      <c r="B60" t="inlineStr">
        <is>
          <t>03-05-2026</t>
        </is>
      </c>
      <c r="C60" t="inlineStr">
        <is>
          <t>S123</t>
        </is>
      </c>
      <c r="D60" t="inlineStr">
        <is>
          <t>SKIDDER</t>
        </is>
      </c>
      <c r="E60" t="inlineStr">
        <is>
          <t>EL CABRITO CBB</t>
        </is>
      </c>
      <c r="F60" t="inlineStr">
        <is>
          <t>PIRA</t>
        </is>
      </c>
      <c r="G60" t="n">
        <v>180</v>
      </c>
      <c r="H60" t="n">
        <v>0</v>
      </c>
      <c r="I60" t="n">
        <v>1.5</v>
      </c>
      <c r="J60" t="n">
        <v>17</v>
      </c>
      <c r="K60" t="n">
        <v>0</v>
      </c>
      <c r="L60" t="n">
        <v>66.76000000000001</v>
      </c>
      <c r="M60" t="n">
        <v>60</v>
      </c>
      <c r="N60" t="n">
        <v>60</v>
      </c>
      <c r="O60" t="n">
        <v>99.40000000000001</v>
      </c>
      <c r="P60" t="n">
        <v>44.51</v>
      </c>
    </row>
    <row r="61">
      <c r="A61" t="n">
        <v>826006</v>
      </c>
      <c r="B61" t="inlineStr">
        <is>
          <t>03-05-2026</t>
        </is>
      </c>
      <c r="C61" t="inlineStr">
        <is>
          <t>T125</t>
        </is>
      </c>
      <c r="D61" t="inlineStr">
        <is>
          <t>TORRE500</t>
        </is>
      </c>
      <c r="E61" t="inlineStr">
        <is>
          <t>POLHUIN</t>
        </is>
      </c>
      <c r="F61" t="inlineStr">
        <is>
          <t>EUGL</t>
        </is>
      </c>
      <c r="G61" t="n">
        <v>720</v>
      </c>
      <c r="H61" t="n">
        <v>0</v>
      </c>
      <c r="I61" t="n">
        <v>10</v>
      </c>
      <c r="J61" t="n">
        <v>125</v>
      </c>
      <c r="K61" t="n">
        <v>0</v>
      </c>
      <c r="L61" t="n">
        <v>210.62</v>
      </c>
      <c r="M61" t="n">
        <v>60</v>
      </c>
      <c r="N61" t="n">
        <v>60</v>
      </c>
      <c r="O61" t="n">
        <v>99.90000000000001</v>
      </c>
      <c r="P61" t="n">
        <v>21.06</v>
      </c>
    </row>
    <row r="62">
      <c r="A62" t="n">
        <v>826024</v>
      </c>
      <c r="B62" t="inlineStr">
        <is>
          <t>03-05-2026</t>
        </is>
      </c>
      <c r="C62" t="inlineStr">
        <is>
          <t>TEA02</t>
        </is>
      </c>
      <c r="D62" t="inlineStr">
        <is>
          <t>FORWINCH</t>
        </is>
      </c>
      <c r="E62" t="inlineStr">
        <is>
          <t>COIHUECO Y OTROS (BB)</t>
        </is>
      </c>
      <c r="F62" t="inlineStr">
        <is>
          <t>PIRA</t>
        </is>
      </c>
      <c r="G62" t="n">
        <v>720</v>
      </c>
      <c r="H62" t="n">
        <v>0</v>
      </c>
      <c r="I62" t="n">
        <v>10.5</v>
      </c>
      <c r="J62" t="n">
        <v>23</v>
      </c>
      <c r="K62" t="n">
        <v>0</v>
      </c>
      <c r="L62" t="n">
        <v>32.98</v>
      </c>
      <c r="M62" t="n">
        <v>0</v>
      </c>
      <c r="N62" t="n">
        <v>30</v>
      </c>
      <c r="O62" t="n">
        <v>100</v>
      </c>
      <c r="P62" t="n">
        <v>3.14</v>
      </c>
    </row>
    <row r="63">
      <c r="A63" t="n">
        <v>826024</v>
      </c>
      <c r="B63" t="inlineStr">
        <is>
          <t>03-05-2026</t>
        </is>
      </c>
      <c r="C63" t="inlineStr">
        <is>
          <t>TEA02</t>
        </is>
      </c>
      <c r="D63" t="inlineStr">
        <is>
          <t>FORWINCH</t>
        </is>
      </c>
      <c r="E63" t="inlineStr">
        <is>
          <t>COIHUECO Y OTROS (BB)</t>
        </is>
      </c>
      <c r="F63" t="inlineStr">
        <is>
          <t>PIRA</t>
        </is>
      </c>
      <c r="G63" t="n">
        <v>720</v>
      </c>
      <c r="H63" t="n">
        <v>0</v>
      </c>
      <c r="I63" t="n">
        <v>10.5</v>
      </c>
      <c r="J63" t="n">
        <v>23</v>
      </c>
      <c r="K63" t="n">
        <v>0</v>
      </c>
      <c r="L63" t="n">
        <v>15.7</v>
      </c>
      <c r="M63" t="n">
        <v>0</v>
      </c>
      <c r="N63" t="n">
        <v>30</v>
      </c>
      <c r="O63" t="n">
        <v>100</v>
      </c>
      <c r="P63" t="n">
        <v>1.5</v>
      </c>
    </row>
    <row r="64">
      <c r="A64" t="n">
        <v>826024</v>
      </c>
      <c r="B64" t="inlineStr">
        <is>
          <t>03-05-2026</t>
        </is>
      </c>
      <c r="C64" t="inlineStr">
        <is>
          <t>TEA02</t>
        </is>
      </c>
      <c r="D64" t="inlineStr">
        <is>
          <t>FORWINCH</t>
        </is>
      </c>
      <c r="E64" t="inlineStr">
        <is>
          <t>COIHUECO Y OTROS (BB)</t>
        </is>
      </c>
      <c r="F64" t="inlineStr">
        <is>
          <t>PIRA</t>
        </is>
      </c>
      <c r="G64" t="n">
        <v>720</v>
      </c>
      <c r="H64" t="n">
        <v>0</v>
      </c>
      <c r="I64" t="n">
        <v>10.5</v>
      </c>
      <c r="J64" t="n">
        <v>23</v>
      </c>
      <c r="K64" t="n">
        <v>0</v>
      </c>
      <c r="L64" t="n">
        <v>34.34</v>
      </c>
      <c r="M64" t="n">
        <v>0</v>
      </c>
      <c r="N64" t="n">
        <v>30</v>
      </c>
      <c r="O64" t="n">
        <v>100</v>
      </c>
      <c r="P64" t="n">
        <v>3.27</v>
      </c>
    </row>
    <row r="65">
      <c r="A65" t="n">
        <v>826024</v>
      </c>
      <c r="B65" t="inlineStr">
        <is>
          <t>03-05-2026</t>
        </is>
      </c>
      <c r="C65" t="inlineStr">
        <is>
          <t>TEA02</t>
        </is>
      </c>
      <c r="D65" t="inlineStr">
        <is>
          <t>FORWINCH</t>
        </is>
      </c>
      <c r="E65" t="inlineStr">
        <is>
          <t>COIHUECO Y OTROS (BB)</t>
        </is>
      </c>
      <c r="F65" t="inlineStr">
        <is>
          <t>PIRA</t>
        </is>
      </c>
      <c r="G65" t="n">
        <v>720</v>
      </c>
      <c r="H65" t="n">
        <v>0</v>
      </c>
      <c r="I65" t="n">
        <v>10.5</v>
      </c>
      <c r="J65" t="n">
        <v>23</v>
      </c>
      <c r="K65" t="n">
        <v>0</v>
      </c>
      <c r="L65" t="n">
        <v>24.74</v>
      </c>
      <c r="M65" t="n">
        <v>0</v>
      </c>
      <c r="N65" t="n">
        <v>30</v>
      </c>
      <c r="O65" t="n">
        <v>100</v>
      </c>
      <c r="P65" t="n">
        <v>2.36</v>
      </c>
    </row>
    <row r="66">
      <c r="A66" t="n">
        <v>826024</v>
      </c>
      <c r="B66" t="inlineStr">
        <is>
          <t>03-05-2026</t>
        </is>
      </c>
      <c r="C66" t="inlineStr">
        <is>
          <t>TEA02</t>
        </is>
      </c>
      <c r="D66" t="inlineStr">
        <is>
          <t>FORWINCH</t>
        </is>
      </c>
      <c r="E66" t="inlineStr">
        <is>
          <t>COIHUECO Y OTROS (BB)</t>
        </is>
      </c>
      <c r="F66" t="inlineStr">
        <is>
          <t>PIRA</t>
        </is>
      </c>
      <c r="G66" t="n">
        <v>720</v>
      </c>
      <c r="H66" t="n">
        <v>0</v>
      </c>
      <c r="I66" t="n">
        <v>10.5</v>
      </c>
      <c r="J66" t="n">
        <v>23</v>
      </c>
      <c r="K66" t="n">
        <v>0</v>
      </c>
      <c r="L66" t="n">
        <v>4.09</v>
      </c>
      <c r="M66" t="n">
        <v>0</v>
      </c>
      <c r="N66" t="n">
        <v>30</v>
      </c>
      <c r="O66" t="n">
        <v>100</v>
      </c>
      <c r="P66" t="n">
        <v>0.39</v>
      </c>
    </row>
    <row r="67">
      <c r="A67" t="n">
        <v>826024</v>
      </c>
      <c r="B67" t="inlineStr">
        <is>
          <t>03-05-2026</t>
        </is>
      </c>
      <c r="C67" t="inlineStr">
        <is>
          <t>TEA02</t>
        </is>
      </c>
      <c r="D67" t="inlineStr">
        <is>
          <t>FORWINCH</t>
        </is>
      </c>
      <c r="E67" t="inlineStr">
        <is>
          <t>COIHUECO Y OTROS (BB)</t>
        </is>
      </c>
      <c r="F67" t="inlineStr">
        <is>
          <t>PIRA</t>
        </is>
      </c>
      <c r="G67" t="n">
        <v>720</v>
      </c>
      <c r="H67" t="n">
        <v>0</v>
      </c>
      <c r="I67" t="n">
        <v>10.5</v>
      </c>
      <c r="J67" t="n">
        <v>23</v>
      </c>
      <c r="K67" t="n">
        <v>0</v>
      </c>
      <c r="L67" t="n">
        <v>50.59</v>
      </c>
      <c r="M67" t="n">
        <v>0</v>
      </c>
      <c r="N67" t="n">
        <v>30</v>
      </c>
      <c r="O67" t="n">
        <v>100</v>
      </c>
      <c r="P67" t="n">
        <v>4.82</v>
      </c>
    </row>
    <row r="68">
      <c r="A68" t="n">
        <v>826028</v>
      </c>
      <c r="B68" t="inlineStr">
        <is>
          <t>03-05-2026</t>
        </is>
      </c>
      <c r="C68" t="inlineStr">
        <is>
          <t>S246</t>
        </is>
      </c>
      <c r="D68" t="inlineStr">
        <is>
          <t>SKIDDER</t>
        </is>
      </c>
      <c r="E68" t="inlineStr">
        <is>
          <t>COIHUECO Y OTROS (BB)</t>
        </is>
      </c>
      <c r="F68" t="inlineStr">
        <is>
          <t>PIRA</t>
        </is>
      </c>
      <c r="G68" t="n">
        <v>720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600</v>
      </c>
      <c r="N68" t="n">
        <v>600</v>
      </c>
      <c r="O68" t="n">
        <v>98.59999999999999</v>
      </c>
      <c r="P68" t="n">
        <v>0</v>
      </c>
    </row>
    <row r="69">
      <c r="A69" t="n">
        <v>826028</v>
      </c>
      <c r="B69" t="inlineStr">
        <is>
          <t>03-05-2026</t>
        </is>
      </c>
      <c r="C69" t="inlineStr">
        <is>
          <t>S246</t>
        </is>
      </c>
      <c r="D69" t="inlineStr">
        <is>
          <t>SKIDDER</t>
        </is>
      </c>
      <c r="E69" t="inlineStr">
        <is>
          <t>COIHUECO Y OTROS (BB)</t>
        </is>
      </c>
      <c r="F69" t="inlineStr">
        <is>
          <t>PIRA</t>
        </is>
      </c>
      <c r="G69" t="n">
        <v>720</v>
      </c>
      <c r="H69" t="n">
        <v>0</v>
      </c>
      <c r="I69" t="n">
        <v>1</v>
      </c>
      <c r="J69" t="n">
        <v>2</v>
      </c>
      <c r="K69" t="n">
        <v>0</v>
      </c>
      <c r="L69" t="n">
        <v>0</v>
      </c>
      <c r="M69" t="n">
        <v>600</v>
      </c>
      <c r="N69" t="n">
        <v>600</v>
      </c>
      <c r="O69" t="n">
        <v>98.59999999999999</v>
      </c>
      <c r="P69" t="n">
        <v>0</v>
      </c>
    </row>
    <row r="70">
      <c r="A70" t="n">
        <v>826028</v>
      </c>
      <c r="B70" t="inlineStr">
        <is>
          <t>03-05-2026</t>
        </is>
      </c>
      <c r="C70" t="inlineStr">
        <is>
          <t>S246</t>
        </is>
      </c>
      <c r="D70" t="inlineStr">
        <is>
          <t>SKIDDER</t>
        </is>
      </c>
      <c r="E70" t="inlineStr">
        <is>
          <t>COIHUECO Y OTROS (BB)</t>
        </is>
      </c>
      <c r="F70" t="inlineStr">
        <is>
          <t>PIRA</t>
        </is>
      </c>
      <c r="G70" t="n">
        <v>720</v>
      </c>
      <c r="H70" t="n">
        <v>0</v>
      </c>
      <c r="I70" t="n">
        <v>1</v>
      </c>
      <c r="J70" t="n">
        <v>2</v>
      </c>
      <c r="K70" t="n">
        <v>0</v>
      </c>
      <c r="L70" t="n">
        <v>0</v>
      </c>
      <c r="M70" t="n">
        <v>600</v>
      </c>
      <c r="N70" t="n">
        <v>600</v>
      </c>
      <c r="O70" t="n">
        <v>98.59999999999999</v>
      </c>
      <c r="P70" t="n">
        <v>0</v>
      </c>
    </row>
    <row r="71">
      <c r="A71" t="n">
        <v>826028</v>
      </c>
      <c r="B71" t="inlineStr">
        <is>
          <t>03-05-2026</t>
        </is>
      </c>
      <c r="C71" t="inlineStr">
        <is>
          <t>S246</t>
        </is>
      </c>
      <c r="D71" t="inlineStr">
        <is>
          <t>SKIDDER</t>
        </is>
      </c>
      <c r="E71" t="inlineStr">
        <is>
          <t>COIHUECO Y OTROS (BB)</t>
        </is>
      </c>
      <c r="F71" t="inlineStr">
        <is>
          <t>PIRA</t>
        </is>
      </c>
      <c r="G71" t="n">
        <v>720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600</v>
      </c>
      <c r="N71" t="n">
        <v>600</v>
      </c>
      <c r="O71" t="n">
        <v>98.59999999999999</v>
      </c>
      <c r="P71" t="n">
        <v>0</v>
      </c>
    </row>
    <row r="72">
      <c r="A72" t="n">
        <v>826028</v>
      </c>
      <c r="B72" t="inlineStr">
        <is>
          <t>03-05-2026</t>
        </is>
      </c>
      <c r="C72" t="inlineStr">
        <is>
          <t>S246</t>
        </is>
      </c>
      <c r="D72" t="inlineStr">
        <is>
          <t>SKIDDER</t>
        </is>
      </c>
      <c r="E72" t="inlineStr">
        <is>
          <t>COIHUECO Y OTROS (BB)</t>
        </is>
      </c>
      <c r="F72" t="inlineStr">
        <is>
          <t>PIRA</t>
        </is>
      </c>
      <c r="G72" t="n">
        <v>720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600</v>
      </c>
      <c r="N72" t="n">
        <v>600</v>
      </c>
      <c r="O72" t="n">
        <v>98.59999999999999</v>
      </c>
      <c r="P72" t="n">
        <v>0</v>
      </c>
    </row>
    <row r="73">
      <c r="A73" t="n">
        <v>826028</v>
      </c>
      <c r="B73" t="inlineStr">
        <is>
          <t>03-05-2026</t>
        </is>
      </c>
      <c r="C73" t="inlineStr">
        <is>
          <t>S246</t>
        </is>
      </c>
      <c r="D73" t="inlineStr">
        <is>
          <t>SKIDDER</t>
        </is>
      </c>
      <c r="E73" t="inlineStr">
        <is>
          <t>COIHUECO Y OTROS (BB)</t>
        </is>
      </c>
      <c r="F73" t="inlineStr">
        <is>
          <t>PIRA</t>
        </is>
      </c>
      <c r="G73" t="n">
        <v>720</v>
      </c>
      <c r="H73" t="n">
        <v>0</v>
      </c>
      <c r="I73" t="n">
        <v>1</v>
      </c>
      <c r="J73" t="n">
        <v>2</v>
      </c>
      <c r="K73" t="n">
        <v>0</v>
      </c>
      <c r="L73" t="n">
        <v>10.3</v>
      </c>
      <c r="M73" t="n">
        <v>600</v>
      </c>
      <c r="N73" t="n">
        <v>600</v>
      </c>
      <c r="O73" t="n">
        <v>98.59999999999999</v>
      </c>
      <c r="P73" t="n">
        <v>10.3</v>
      </c>
    </row>
    <row r="74">
      <c r="A74" t="n">
        <v>826028</v>
      </c>
      <c r="B74" t="inlineStr">
        <is>
          <t>03-05-2026</t>
        </is>
      </c>
      <c r="C74" t="inlineStr">
        <is>
          <t>S246</t>
        </is>
      </c>
      <c r="D74" t="inlineStr">
        <is>
          <t>SKIDDER</t>
        </is>
      </c>
      <c r="E74" t="inlineStr">
        <is>
          <t>COIHUECO Y OTROS (BB)</t>
        </is>
      </c>
      <c r="F74" t="inlineStr">
        <is>
          <t>PIRA</t>
        </is>
      </c>
      <c r="G74" t="n">
        <v>720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600</v>
      </c>
      <c r="N74" t="n">
        <v>600</v>
      </c>
      <c r="O74" t="n">
        <v>98.59999999999999</v>
      </c>
      <c r="P74" t="n">
        <v>0</v>
      </c>
    </row>
    <row r="75">
      <c r="A75" t="n">
        <v>826028</v>
      </c>
      <c r="B75" t="inlineStr">
        <is>
          <t>03-05-2026</t>
        </is>
      </c>
      <c r="C75" t="inlineStr">
        <is>
          <t>S246</t>
        </is>
      </c>
      <c r="D75" t="inlineStr">
        <is>
          <t>SKIDDER</t>
        </is>
      </c>
      <c r="E75" t="inlineStr">
        <is>
          <t>COIHUECO Y OTROS (BB)</t>
        </is>
      </c>
      <c r="F75" t="inlineStr">
        <is>
          <t>PIRA</t>
        </is>
      </c>
      <c r="G75" t="n">
        <v>720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600</v>
      </c>
      <c r="N75" t="n">
        <v>600</v>
      </c>
      <c r="O75" t="n">
        <v>98.59999999999999</v>
      </c>
      <c r="P75" t="n">
        <v>0</v>
      </c>
    </row>
    <row r="76">
      <c r="A76" t="n">
        <v>826028</v>
      </c>
      <c r="B76" t="inlineStr">
        <is>
          <t>03-05-2026</t>
        </is>
      </c>
      <c r="C76" t="inlineStr">
        <is>
          <t>S246</t>
        </is>
      </c>
      <c r="D76" t="inlineStr">
        <is>
          <t>SKIDDER</t>
        </is>
      </c>
      <c r="E76" t="inlineStr">
        <is>
          <t>COIHUECO Y OTROS (BB)</t>
        </is>
      </c>
      <c r="F76" t="inlineStr">
        <is>
          <t>PIRA</t>
        </is>
      </c>
      <c r="G76" t="n">
        <v>720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600</v>
      </c>
      <c r="N76" t="n">
        <v>600</v>
      </c>
      <c r="O76" t="n">
        <v>98.59999999999999</v>
      </c>
      <c r="P76" t="n">
        <v>0</v>
      </c>
    </row>
    <row r="77">
      <c r="A77" t="n">
        <v>826028</v>
      </c>
      <c r="B77" t="inlineStr">
        <is>
          <t>03-05-2026</t>
        </is>
      </c>
      <c r="C77" t="inlineStr">
        <is>
          <t>S246</t>
        </is>
      </c>
      <c r="D77" t="inlineStr">
        <is>
          <t>SKIDDER</t>
        </is>
      </c>
      <c r="E77" t="inlineStr">
        <is>
          <t>COIHUECO Y OTROS (BB)</t>
        </is>
      </c>
      <c r="F77" t="inlineStr">
        <is>
          <t>PIRA</t>
        </is>
      </c>
      <c r="G77" t="n">
        <v>720</v>
      </c>
      <c r="H77" t="n">
        <v>0</v>
      </c>
      <c r="I77" t="n">
        <v>1</v>
      </c>
      <c r="J77" t="n">
        <v>2</v>
      </c>
      <c r="K77" t="n">
        <v>0</v>
      </c>
      <c r="L77" t="n">
        <v>0</v>
      </c>
      <c r="M77" t="n">
        <v>600</v>
      </c>
      <c r="N77" t="n">
        <v>600</v>
      </c>
      <c r="O77" t="n">
        <v>98.59999999999999</v>
      </c>
      <c r="P77" t="n">
        <v>0</v>
      </c>
    </row>
    <row r="78">
      <c r="A78" t="n">
        <v>826046</v>
      </c>
      <c r="B78" t="inlineStr">
        <is>
          <t>03-05-2026</t>
        </is>
      </c>
      <c r="C78" t="inlineStr">
        <is>
          <t>S223</t>
        </is>
      </c>
      <c r="D78" t="inlineStr">
        <is>
          <t>SKIDDER</t>
        </is>
      </c>
      <c r="E78" t="inlineStr">
        <is>
          <t>LAS ULLOAS (BB)</t>
        </is>
      </c>
      <c r="F78" t="inlineStr">
        <is>
          <t>PIRA</t>
        </is>
      </c>
      <c r="G78" t="n">
        <v>720</v>
      </c>
      <c r="H78" t="n">
        <v>0</v>
      </c>
      <c r="I78" t="n">
        <v>7</v>
      </c>
      <c r="J78" t="n">
        <v>24</v>
      </c>
      <c r="K78" t="n">
        <v>0</v>
      </c>
      <c r="L78" t="n">
        <v>12.36</v>
      </c>
      <c r="M78" t="n">
        <v>240</v>
      </c>
      <c r="N78" t="n">
        <v>240</v>
      </c>
      <c r="O78" t="n">
        <v>99.40000000000001</v>
      </c>
      <c r="P78" t="n">
        <v>1.77</v>
      </c>
    </row>
    <row r="79">
      <c r="A79" t="n">
        <v>826046</v>
      </c>
      <c r="B79" t="inlineStr">
        <is>
          <t>03-05-2026</t>
        </is>
      </c>
      <c r="C79" t="inlineStr">
        <is>
          <t>S223</t>
        </is>
      </c>
      <c r="D79" t="inlineStr">
        <is>
          <t>SKIDDER</t>
        </is>
      </c>
      <c r="E79" t="inlineStr">
        <is>
          <t>LAS ULLOAS (BB)</t>
        </is>
      </c>
      <c r="F79" t="inlineStr">
        <is>
          <t>PIRA</t>
        </is>
      </c>
      <c r="G79" t="n">
        <v>720</v>
      </c>
      <c r="H79" t="n">
        <v>0</v>
      </c>
      <c r="I79" t="n">
        <v>7</v>
      </c>
      <c r="J79" t="n">
        <v>24</v>
      </c>
      <c r="K79" t="n">
        <v>0</v>
      </c>
      <c r="L79" t="n">
        <v>10.88</v>
      </c>
      <c r="M79" t="n">
        <v>240</v>
      </c>
      <c r="N79" t="n">
        <v>240</v>
      </c>
      <c r="O79" t="n">
        <v>99.40000000000001</v>
      </c>
      <c r="P79" t="n">
        <v>1.55</v>
      </c>
    </row>
    <row r="80">
      <c r="A80" t="n">
        <v>826046</v>
      </c>
      <c r="B80" t="inlineStr">
        <is>
          <t>03-05-2026</t>
        </is>
      </c>
      <c r="C80" t="inlineStr">
        <is>
          <t>S223</t>
        </is>
      </c>
      <c r="D80" t="inlineStr">
        <is>
          <t>SKIDDER</t>
        </is>
      </c>
      <c r="E80" t="inlineStr">
        <is>
          <t>LAS ULLOAS (BB)</t>
        </is>
      </c>
      <c r="F80" t="inlineStr">
        <is>
          <t>PIRA</t>
        </is>
      </c>
      <c r="G80" t="n">
        <v>720</v>
      </c>
      <c r="H80" t="n">
        <v>0</v>
      </c>
      <c r="I80" t="n">
        <v>7</v>
      </c>
      <c r="J80" t="n">
        <v>24</v>
      </c>
      <c r="K80" t="n">
        <v>0</v>
      </c>
      <c r="L80" t="n">
        <v>62.31</v>
      </c>
      <c r="M80" t="n">
        <v>240</v>
      </c>
      <c r="N80" t="n">
        <v>240</v>
      </c>
      <c r="O80" t="n">
        <v>99.40000000000001</v>
      </c>
      <c r="P80" t="n">
        <v>8.9</v>
      </c>
    </row>
    <row r="81">
      <c r="A81" t="n">
        <v>826046</v>
      </c>
      <c r="B81" t="inlineStr">
        <is>
          <t>03-05-2026</t>
        </is>
      </c>
      <c r="C81" t="inlineStr">
        <is>
          <t>S223</t>
        </is>
      </c>
      <c r="D81" t="inlineStr">
        <is>
          <t>SKIDDER</t>
        </is>
      </c>
      <c r="E81" t="inlineStr">
        <is>
          <t>LAS ULLOAS (BB)</t>
        </is>
      </c>
      <c r="F81" t="inlineStr">
        <is>
          <t>PIRA</t>
        </is>
      </c>
      <c r="G81" t="n">
        <v>720</v>
      </c>
      <c r="H81" t="n">
        <v>0</v>
      </c>
      <c r="I81" t="n">
        <v>7</v>
      </c>
      <c r="J81" t="n">
        <v>24</v>
      </c>
      <c r="K81" t="n">
        <v>0</v>
      </c>
      <c r="L81" t="n">
        <v>60.76</v>
      </c>
      <c r="M81" t="n">
        <v>240</v>
      </c>
      <c r="N81" t="n">
        <v>240</v>
      </c>
      <c r="O81" t="n">
        <v>99.40000000000001</v>
      </c>
      <c r="P81" t="n">
        <v>8.68</v>
      </c>
    </row>
    <row r="82">
      <c r="A82" t="n">
        <v>826057</v>
      </c>
      <c r="B82" t="inlineStr">
        <is>
          <t>03-05-2026</t>
        </is>
      </c>
      <c r="C82" t="inlineStr">
        <is>
          <t>TEA08</t>
        </is>
      </c>
      <c r="D82" t="inlineStr">
        <is>
          <t>FORWINCH</t>
        </is>
      </c>
      <c r="E82" t="inlineStr">
        <is>
          <t>COIHUECO Y OTROS (BB)</t>
        </is>
      </c>
      <c r="F82" t="inlineStr">
        <is>
          <t>PIRA</t>
        </is>
      </c>
      <c r="G82" t="n">
        <v>720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660</v>
      </c>
      <c r="N82" t="n">
        <v>660</v>
      </c>
      <c r="O82" t="n">
        <v>98.5</v>
      </c>
      <c r="P82" t="n">
        <v>0</v>
      </c>
    </row>
    <row r="83">
      <c r="A83" t="n">
        <v>826057</v>
      </c>
      <c r="B83" t="inlineStr">
        <is>
          <t>03-05-2026</t>
        </is>
      </c>
      <c r="C83" t="inlineStr">
        <is>
          <t>TEA08</t>
        </is>
      </c>
      <c r="D83" t="inlineStr">
        <is>
          <t>FORWINCH</t>
        </is>
      </c>
      <c r="E83" t="inlineStr">
        <is>
          <t>COIHUECO Y OTROS (BB)</t>
        </is>
      </c>
      <c r="F83" t="inlineStr">
        <is>
          <t>PIRA</t>
        </is>
      </c>
      <c r="G83" t="n">
        <v>720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660</v>
      </c>
      <c r="N83" t="n">
        <v>660</v>
      </c>
      <c r="O83" t="n">
        <v>98.5</v>
      </c>
      <c r="P83" t="n">
        <v>0</v>
      </c>
    </row>
    <row r="84">
      <c r="A84" t="n">
        <v>826057</v>
      </c>
      <c r="B84" t="inlineStr">
        <is>
          <t>03-05-2026</t>
        </is>
      </c>
      <c r="C84" t="inlineStr">
        <is>
          <t>TEA08</t>
        </is>
      </c>
      <c r="D84" t="inlineStr">
        <is>
          <t>FORWINCH</t>
        </is>
      </c>
      <c r="E84" t="inlineStr">
        <is>
          <t>COIHUECO Y OTROS (BB)</t>
        </is>
      </c>
      <c r="F84" t="inlineStr">
        <is>
          <t>PIRA</t>
        </is>
      </c>
      <c r="G84" t="n">
        <v>720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660</v>
      </c>
      <c r="N84" t="n">
        <v>660</v>
      </c>
      <c r="O84" t="n">
        <v>98.5</v>
      </c>
      <c r="P84" t="n">
        <v>0</v>
      </c>
    </row>
    <row r="85">
      <c r="A85" t="n">
        <v>826057</v>
      </c>
      <c r="B85" t="inlineStr">
        <is>
          <t>03-05-2026</t>
        </is>
      </c>
      <c r="C85" t="inlineStr">
        <is>
          <t>TEA08</t>
        </is>
      </c>
      <c r="D85" t="inlineStr">
        <is>
          <t>FORWINCH</t>
        </is>
      </c>
      <c r="E85" t="inlineStr">
        <is>
          <t>COIHUECO Y OTROS (BB)</t>
        </is>
      </c>
      <c r="F85" t="inlineStr">
        <is>
          <t>PIRA</t>
        </is>
      </c>
      <c r="G85" t="n">
        <v>720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660</v>
      </c>
      <c r="N85" t="n">
        <v>660</v>
      </c>
      <c r="O85" t="n">
        <v>98.5</v>
      </c>
      <c r="P85" t="n">
        <v>0</v>
      </c>
    </row>
    <row r="86">
      <c r="A86" t="n">
        <v>826057</v>
      </c>
      <c r="B86" t="inlineStr">
        <is>
          <t>03-05-2026</t>
        </is>
      </c>
      <c r="C86" t="inlineStr">
        <is>
          <t>TEA08</t>
        </is>
      </c>
      <c r="D86" t="inlineStr">
        <is>
          <t>FORWINCH</t>
        </is>
      </c>
      <c r="E86" t="inlineStr">
        <is>
          <t>COIHUECO Y OTROS (BB)</t>
        </is>
      </c>
      <c r="F86" t="inlineStr">
        <is>
          <t>PIRA</t>
        </is>
      </c>
      <c r="G86" t="n">
        <v>720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660</v>
      </c>
      <c r="N86" t="n">
        <v>660</v>
      </c>
      <c r="O86" t="n">
        <v>98.5</v>
      </c>
      <c r="P86" t="n">
        <v>0</v>
      </c>
    </row>
    <row r="87">
      <c r="A87" t="n">
        <v>826057</v>
      </c>
      <c r="B87" t="inlineStr">
        <is>
          <t>03-05-2026</t>
        </is>
      </c>
      <c r="C87" t="inlineStr">
        <is>
          <t>TEA08</t>
        </is>
      </c>
      <c r="D87" t="inlineStr">
        <is>
          <t>FORWINCH</t>
        </is>
      </c>
      <c r="E87" t="inlineStr">
        <is>
          <t>COIHUECO Y OTROS (BB)</t>
        </is>
      </c>
      <c r="F87" t="inlineStr">
        <is>
          <t>PIRA</t>
        </is>
      </c>
      <c r="G87" t="n">
        <v>720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660</v>
      </c>
      <c r="N87" t="n">
        <v>660</v>
      </c>
      <c r="O87" t="n">
        <v>98.5</v>
      </c>
      <c r="P87" t="n">
        <v>0</v>
      </c>
    </row>
    <row r="88">
      <c r="A88" t="n">
        <v>826060</v>
      </c>
      <c r="B88" t="inlineStr">
        <is>
          <t>03-05-2026</t>
        </is>
      </c>
      <c r="C88" t="inlineStr">
        <is>
          <t>S58</t>
        </is>
      </c>
      <c r="D88" t="inlineStr">
        <is>
          <t>SKIDDER</t>
        </is>
      </c>
      <c r="E88" t="inlineStr">
        <is>
          <t>COIHUECO Y OTROS (BB)</t>
        </is>
      </c>
      <c r="F88" t="inlineStr">
        <is>
          <t>PIRA</t>
        </is>
      </c>
      <c r="G88" t="n">
        <v>540</v>
      </c>
      <c r="H88" t="n">
        <v>0</v>
      </c>
      <c r="I88" t="n">
        <v>6</v>
      </c>
      <c r="J88" t="n">
        <v>26</v>
      </c>
      <c r="K88" t="n">
        <v>0</v>
      </c>
      <c r="L88" t="n">
        <v>9.58</v>
      </c>
      <c r="M88" t="n">
        <v>0</v>
      </c>
      <c r="N88" t="n">
        <v>120</v>
      </c>
      <c r="O88" t="n">
        <v>100</v>
      </c>
      <c r="P88" t="n">
        <v>1.6</v>
      </c>
    </row>
    <row r="89">
      <c r="A89" t="n">
        <v>826060</v>
      </c>
      <c r="B89" t="inlineStr">
        <is>
          <t>03-05-2026</t>
        </is>
      </c>
      <c r="C89" t="inlineStr">
        <is>
          <t>S58</t>
        </is>
      </c>
      <c r="D89" t="inlineStr">
        <is>
          <t>SKIDDER</t>
        </is>
      </c>
      <c r="E89" t="inlineStr">
        <is>
          <t>COIHUECO Y OTROS (BB)</t>
        </is>
      </c>
      <c r="F89" t="inlineStr">
        <is>
          <t>PIRA</t>
        </is>
      </c>
      <c r="G89" t="n">
        <v>540</v>
      </c>
      <c r="H89" t="n">
        <v>0</v>
      </c>
      <c r="I89" t="n">
        <v>6</v>
      </c>
      <c r="J89" t="n">
        <v>26</v>
      </c>
      <c r="K89" t="n">
        <v>0</v>
      </c>
      <c r="L89" t="n">
        <v>6.61</v>
      </c>
      <c r="M89" t="n">
        <v>0</v>
      </c>
      <c r="N89" t="n">
        <v>120</v>
      </c>
      <c r="O89" t="n">
        <v>100</v>
      </c>
      <c r="P89" t="n">
        <v>1.1</v>
      </c>
    </row>
    <row r="90">
      <c r="A90" t="n">
        <v>826060</v>
      </c>
      <c r="B90" t="inlineStr">
        <is>
          <t>03-05-2026</t>
        </is>
      </c>
      <c r="C90" t="inlineStr">
        <is>
          <t>S58</t>
        </is>
      </c>
      <c r="D90" t="inlineStr">
        <is>
          <t>SKIDDER</t>
        </is>
      </c>
      <c r="E90" t="inlineStr">
        <is>
          <t>COIHUECO Y OTROS (BB)</t>
        </is>
      </c>
      <c r="F90" t="inlineStr">
        <is>
          <t>PIRA</t>
        </is>
      </c>
      <c r="G90" t="n">
        <v>540</v>
      </c>
      <c r="H90" t="n">
        <v>0</v>
      </c>
      <c r="I90" t="n">
        <v>6</v>
      </c>
      <c r="J90" t="n">
        <v>26</v>
      </c>
      <c r="K90" t="n">
        <v>0</v>
      </c>
      <c r="L90" t="n">
        <v>26.98</v>
      </c>
      <c r="M90" t="n">
        <v>0</v>
      </c>
      <c r="N90" t="n">
        <v>120</v>
      </c>
      <c r="O90" t="n">
        <v>100</v>
      </c>
      <c r="P90" t="n">
        <v>4.5</v>
      </c>
    </row>
    <row r="91">
      <c r="A91" t="n">
        <v>826060</v>
      </c>
      <c r="B91" t="inlineStr">
        <is>
          <t>03-05-2026</t>
        </is>
      </c>
      <c r="C91" t="inlineStr">
        <is>
          <t>S58</t>
        </is>
      </c>
      <c r="D91" t="inlineStr">
        <is>
          <t>SKIDDER</t>
        </is>
      </c>
      <c r="E91" t="inlineStr">
        <is>
          <t>COIHUECO Y OTROS (BB)</t>
        </is>
      </c>
      <c r="F91" t="inlineStr">
        <is>
          <t>PIRA</t>
        </is>
      </c>
      <c r="G91" t="n">
        <v>540</v>
      </c>
      <c r="H91" t="n">
        <v>0</v>
      </c>
      <c r="I91" t="n">
        <v>6</v>
      </c>
      <c r="J91" t="n">
        <v>26</v>
      </c>
      <c r="K91" t="n">
        <v>0</v>
      </c>
      <c r="L91" t="n">
        <v>4.81</v>
      </c>
      <c r="M91" t="n">
        <v>0</v>
      </c>
      <c r="N91" t="n">
        <v>120</v>
      </c>
      <c r="O91" t="n">
        <v>100</v>
      </c>
      <c r="P91" t="n">
        <v>0.8</v>
      </c>
    </row>
    <row r="92">
      <c r="A92" t="n">
        <v>826060</v>
      </c>
      <c r="B92" t="inlineStr">
        <is>
          <t>03-05-2026</t>
        </is>
      </c>
      <c r="C92" t="inlineStr">
        <is>
          <t>S58</t>
        </is>
      </c>
      <c r="D92" t="inlineStr">
        <is>
          <t>SKIDDER</t>
        </is>
      </c>
      <c r="E92" t="inlineStr">
        <is>
          <t>COIHUECO Y OTROS (BB)</t>
        </is>
      </c>
      <c r="F92" t="inlineStr">
        <is>
          <t>PIRA</t>
        </is>
      </c>
      <c r="G92" t="n">
        <v>540</v>
      </c>
      <c r="H92" t="n">
        <v>0</v>
      </c>
      <c r="I92" t="n">
        <v>6</v>
      </c>
      <c r="J92" t="n">
        <v>26</v>
      </c>
      <c r="K92" t="n">
        <v>0</v>
      </c>
      <c r="L92" t="n">
        <v>7.02</v>
      </c>
      <c r="M92" t="n">
        <v>0</v>
      </c>
      <c r="N92" t="n">
        <v>120</v>
      </c>
      <c r="O92" t="n">
        <v>100</v>
      </c>
      <c r="P92" t="n">
        <v>1.17</v>
      </c>
    </row>
    <row r="93">
      <c r="A93" t="n">
        <v>826060</v>
      </c>
      <c r="B93" t="inlineStr">
        <is>
          <t>03-05-2026</t>
        </is>
      </c>
      <c r="C93" t="inlineStr">
        <is>
          <t>S58</t>
        </is>
      </c>
      <c r="D93" t="inlineStr">
        <is>
          <t>SKIDDER</t>
        </is>
      </c>
      <c r="E93" t="inlineStr">
        <is>
          <t>COIHUECO Y OTROS (BB)</t>
        </is>
      </c>
      <c r="F93" t="inlineStr">
        <is>
          <t>PIRA</t>
        </is>
      </c>
      <c r="G93" t="n">
        <v>540</v>
      </c>
      <c r="H93" t="n">
        <v>0</v>
      </c>
      <c r="I93" t="n">
        <v>6</v>
      </c>
      <c r="J93" t="n">
        <v>26</v>
      </c>
      <c r="K93" t="n">
        <v>0</v>
      </c>
      <c r="L93" t="n">
        <v>1.86</v>
      </c>
      <c r="M93" t="n">
        <v>0</v>
      </c>
      <c r="N93" t="n">
        <v>120</v>
      </c>
      <c r="O93" t="n">
        <v>100</v>
      </c>
      <c r="P93" t="n">
        <v>0.31</v>
      </c>
    </row>
    <row r="94">
      <c r="A94" t="n">
        <v>826060</v>
      </c>
      <c r="B94" t="inlineStr">
        <is>
          <t>03-05-2026</t>
        </is>
      </c>
      <c r="C94" t="inlineStr">
        <is>
          <t>S58</t>
        </is>
      </c>
      <c r="D94" t="inlineStr">
        <is>
          <t>SKIDDER</t>
        </is>
      </c>
      <c r="E94" t="inlineStr">
        <is>
          <t>COIHUECO Y OTROS (BB)</t>
        </is>
      </c>
      <c r="F94" t="inlineStr">
        <is>
          <t>PIRA</t>
        </is>
      </c>
      <c r="G94" t="n">
        <v>540</v>
      </c>
      <c r="H94" t="n">
        <v>0</v>
      </c>
      <c r="I94" t="n">
        <v>6</v>
      </c>
      <c r="J94" t="n">
        <v>26</v>
      </c>
      <c r="K94" t="n">
        <v>0</v>
      </c>
      <c r="L94" t="n">
        <v>16.7</v>
      </c>
      <c r="M94" t="n">
        <v>0</v>
      </c>
      <c r="N94" t="n">
        <v>120</v>
      </c>
      <c r="O94" t="n">
        <v>100</v>
      </c>
      <c r="P94" t="n">
        <v>2.78</v>
      </c>
    </row>
    <row r="95">
      <c r="A95" t="n">
        <v>826060</v>
      </c>
      <c r="B95" t="inlineStr">
        <is>
          <t>03-05-2026</t>
        </is>
      </c>
      <c r="C95" t="inlineStr">
        <is>
          <t>S58</t>
        </is>
      </c>
      <c r="D95" t="inlineStr">
        <is>
          <t>SKIDDER</t>
        </is>
      </c>
      <c r="E95" t="inlineStr">
        <is>
          <t>COIHUECO Y OTROS (BB)</t>
        </is>
      </c>
      <c r="F95" t="inlineStr">
        <is>
          <t>PIRA</t>
        </is>
      </c>
      <c r="G95" t="n">
        <v>540</v>
      </c>
      <c r="H95" t="n">
        <v>0</v>
      </c>
      <c r="I95" t="n">
        <v>6</v>
      </c>
      <c r="J95" t="n">
        <v>26</v>
      </c>
      <c r="K95" t="n">
        <v>0</v>
      </c>
      <c r="L95" t="n">
        <v>13.15</v>
      </c>
      <c r="M95" t="n">
        <v>0</v>
      </c>
      <c r="N95" t="n">
        <v>120</v>
      </c>
      <c r="O95" t="n">
        <v>100</v>
      </c>
      <c r="P95" t="n">
        <v>2.19</v>
      </c>
    </row>
    <row r="96">
      <c r="A96" t="n">
        <v>826062</v>
      </c>
      <c r="B96" t="inlineStr">
        <is>
          <t>03-05-2026</t>
        </is>
      </c>
      <c r="C96" t="inlineStr">
        <is>
          <t>S58</t>
        </is>
      </c>
      <c r="D96" t="inlineStr">
        <is>
          <t>SKIDDER</t>
        </is>
      </c>
      <c r="E96" t="inlineStr">
        <is>
          <t>COIHUECO Y OTROS (BB)</t>
        </is>
      </c>
      <c r="F96" t="inlineStr">
        <is>
          <t>PIRA</t>
        </is>
      </c>
      <c r="G96" t="n">
        <v>120</v>
      </c>
      <c r="H96" t="n">
        <v>0</v>
      </c>
      <c r="I96" t="n">
        <v>2</v>
      </c>
      <c r="J96" t="n">
        <v>13</v>
      </c>
      <c r="K96" t="n">
        <v>0</v>
      </c>
      <c r="L96" t="n">
        <v>31.7</v>
      </c>
      <c r="M96" t="n">
        <v>0</v>
      </c>
      <c r="N96" t="n">
        <v>0</v>
      </c>
      <c r="O96" t="n">
        <v>100</v>
      </c>
      <c r="P96" t="n">
        <v>15.85</v>
      </c>
    </row>
    <row r="97">
      <c r="A97" t="n">
        <v>826062</v>
      </c>
      <c r="B97" t="inlineStr">
        <is>
          <t>03-05-2026</t>
        </is>
      </c>
      <c r="C97" t="inlineStr">
        <is>
          <t>S58</t>
        </is>
      </c>
      <c r="D97" t="inlineStr">
        <is>
          <t>SKIDDER</t>
        </is>
      </c>
      <c r="E97" t="inlineStr">
        <is>
          <t>COIHUECO Y OTROS (BB)</t>
        </is>
      </c>
      <c r="F97" t="inlineStr">
        <is>
          <t>PIRA</t>
        </is>
      </c>
      <c r="G97" t="n">
        <v>120</v>
      </c>
      <c r="H97" t="n">
        <v>0</v>
      </c>
      <c r="I97" t="n">
        <v>2</v>
      </c>
      <c r="J97" t="n">
        <v>13</v>
      </c>
      <c r="K97" t="n">
        <v>0</v>
      </c>
      <c r="L97" t="n">
        <v>12.4</v>
      </c>
      <c r="M97" t="n">
        <v>0</v>
      </c>
      <c r="N97" t="n">
        <v>0</v>
      </c>
      <c r="O97" t="n">
        <v>100</v>
      </c>
      <c r="P97" t="n">
        <v>6.2</v>
      </c>
    </row>
    <row r="98">
      <c r="A98" t="n">
        <v>826080</v>
      </c>
      <c r="B98" t="inlineStr">
        <is>
          <t>03-05-2026</t>
        </is>
      </c>
      <c r="C98" t="inlineStr">
        <is>
          <t>MG5</t>
        </is>
      </c>
      <c r="D98" t="inlineStr">
        <is>
          <t>GRAPPLE</t>
        </is>
      </c>
      <c r="E98" t="inlineStr">
        <is>
          <t>CE-27 ESPINALILLO YBAR</t>
        </is>
      </c>
      <c r="F98" t="inlineStr">
        <is>
          <t>PIRA</t>
        </is>
      </c>
      <c r="G98" t="n">
        <v>720</v>
      </c>
      <c r="H98" t="n">
        <v>0</v>
      </c>
      <c r="I98" t="n">
        <v>11</v>
      </c>
      <c r="J98" t="n">
        <v>26</v>
      </c>
      <c r="K98" t="n">
        <v>0</v>
      </c>
      <c r="L98" t="n">
        <v>9.34</v>
      </c>
      <c r="M98" t="n">
        <v>0</v>
      </c>
      <c r="N98" t="n">
        <v>0</v>
      </c>
      <c r="O98" t="n">
        <v>100</v>
      </c>
      <c r="P98" t="n">
        <v>0.85</v>
      </c>
    </row>
    <row r="99">
      <c r="A99" t="n">
        <v>826080</v>
      </c>
      <c r="B99" t="inlineStr">
        <is>
          <t>03-05-2026</t>
        </is>
      </c>
      <c r="C99" t="inlineStr">
        <is>
          <t>MG5</t>
        </is>
      </c>
      <c r="D99" t="inlineStr">
        <is>
          <t>GRAPPLE</t>
        </is>
      </c>
      <c r="E99" t="inlineStr">
        <is>
          <t>CE-27 ESPINALILLO YBAR</t>
        </is>
      </c>
      <c r="F99" t="inlineStr">
        <is>
          <t>PIRA</t>
        </is>
      </c>
      <c r="G99" t="n">
        <v>720</v>
      </c>
      <c r="H99" t="n">
        <v>0</v>
      </c>
      <c r="I99" t="n">
        <v>11</v>
      </c>
      <c r="J99" t="n">
        <v>26</v>
      </c>
      <c r="K99" t="n">
        <v>0</v>
      </c>
      <c r="L99" t="n">
        <v>55.4</v>
      </c>
      <c r="M99" t="n">
        <v>0</v>
      </c>
      <c r="N99" t="n">
        <v>0</v>
      </c>
      <c r="O99" t="n">
        <v>100</v>
      </c>
      <c r="P99" t="n">
        <v>5.04</v>
      </c>
    </row>
    <row r="100">
      <c r="A100" t="n">
        <v>826080</v>
      </c>
      <c r="B100" t="inlineStr">
        <is>
          <t>03-05-2026</t>
        </is>
      </c>
      <c r="C100" t="inlineStr">
        <is>
          <t>MG5</t>
        </is>
      </c>
      <c r="D100" t="inlineStr">
        <is>
          <t>GRAPPLE</t>
        </is>
      </c>
      <c r="E100" t="inlineStr">
        <is>
          <t>CE-27 ESPINALILLO YBAR</t>
        </is>
      </c>
      <c r="F100" t="inlineStr">
        <is>
          <t>PIRA</t>
        </is>
      </c>
      <c r="G100" t="n">
        <v>720</v>
      </c>
      <c r="H100" t="n">
        <v>0</v>
      </c>
      <c r="I100" t="n">
        <v>11</v>
      </c>
      <c r="J100" t="n">
        <v>26</v>
      </c>
      <c r="K100" t="n">
        <v>0</v>
      </c>
      <c r="L100" t="n">
        <v>50.73</v>
      </c>
      <c r="M100" t="n">
        <v>0</v>
      </c>
      <c r="N100" t="n">
        <v>0</v>
      </c>
      <c r="O100" t="n">
        <v>100</v>
      </c>
      <c r="P100" t="n">
        <v>4.61</v>
      </c>
    </row>
    <row r="101">
      <c r="A101" t="n">
        <v>826169</v>
      </c>
      <c r="B101" t="inlineStr">
        <is>
          <t>04-05-2026</t>
        </is>
      </c>
      <c r="C101" t="inlineStr">
        <is>
          <t>S223</t>
        </is>
      </c>
      <c r="D101" t="inlineStr">
        <is>
          <t>SKIDDER</t>
        </is>
      </c>
      <c r="E101" t="inlineStr">
        <is>
          <t>LAS ULLOAS (BB)</t>
        </is>
      </c>
      <c r="F101" t="inlineStr">
        <is>
          <t>EUGL</t>
        </is>
      </c>
      <c r="G101" t="n">
        <v>720</v>
      </c>
      <c r="H101" t="n">
        <v>0</v>
      </c>
      <c r="I101" t="n">
        <v>9</v>
      </c>
      <c r="J101" t="n">
        <v>15</v>
      </c>
      <c r="K101" t="n">
        <v>0</v>
      </c>
      <c r="L101" t="n">
        <v>68.8</v>
      </c>
      <c r="M101" t="n">
        <v>0</v>
      </c>
      <c r="N101" t="n">
        <v>120</v>
      </c>
      <c r="O101" t="n">
        <v>100</v>
      </c>
      <c r="P101" t="n">
        <v>7.64</v>
      </c>
    </row>
    <row r="102">
      <c r="A102" t="n">
        <v>826169</v>
      </c>
      <c r="B102" t="inlineStr">
        <is>
          <t>04-05-2026</t>
        </is>
      </c>
      <c r="C102" t="inlineStr">
        <is>
          <t>S223</t>
        </is>
      </c>
      <c r="D102" t="inlineStr">
        <is>
          <t>SKIDDER</t>
        </is>
      </c>
      <c r="E102" t="inlineStr">
        <is>
          <t>LAS ULLOAS (BB)</t>
        </is>
      </c>
      <c r="F102" t="inlineStr">
        <is>
          <t>PIRA</t>
        </is>
      </c>
      <c r="G102" t="n">
        <v>720</v>
      </c>
      <c r="H102" t="n">
        <v>0</v>
      </c>
      <c r="I102" t="n">
        <v>9</v>
      </c>
      <c r="J102" t="n">
        <v>15</v>
      </c>
      <c r="K102" t="n">
        <v>0</v>
      </c>
      <c r="L102" t="n">
        <v>6.28</v>
      </c>
      <c r="M102" t="n">
        <v>0</v>
      </c>
      <c r="N102" t="n">
        <v>120</v>
      </c>
      <c r="O102" t="n">
        <v>100</v>
      </c>
      <c r="P102" t="n">
        <v>0.7</v>
      </c>
    </row>
    <row r="103">
      <c r="A103" t="n">
        <v>826169</v>
      </c>
      <c r="B103" t="inlineStr">
        <is>
          <t>04-05-2026</t>
        </is>
      </c>
      <c r="C103" t="inlineStr">
        <is>
          <t>S223</t>
        </is>
      </c>
      <c r="D103" t="inlineStr">
        <is>
          <t>SKIDDER</t>
        </is>
      </c>
      <c r="E103" t="inlineStr">
        <is>
          <t>LAS ULLOAS (BB)</t>
        </is>
      </c>
      <c r="F103" t="inlineStr">
        <is>
          <t>PIRA</t>
        </is>
      </c>
      <c r="G103" t="n">
        <v>720</v>
      </c>
      <c r="H103" t="n">
        <v>0</v>
      </c>
      <c r="I103" t="n">
        <v>9</v>
      </c>
      <c r="J103" t="n">
        <v>15</v>
      </c>
      <c r="K103" t="n">
        <v>0</v>
      </c>
      <c r="L103" t="n">
        <v>12.8</v>
      </c>
      <c r="M103" t="n">
        <v>0</v>
      </c>
      <c r="N103" t="n">
        <v>120</v>
      </c>
      <c r="O103" t="n">
        <v>100</v>
      </c>
      <c r="P103" t="n">
        <v>1.42</v>
      </c>
    </row>
    <row r="104">
      <c r="A104" t="n">
        <v>826169</v>
      </c>
      <c r="B104" t="inlineStr">
        <is>
          <t>04-05-2026</t>
        </is>
      </c>
      <c r="C104" t="inlineStr">
        <is>
          <t>S223</t>
        </is>
      </c>
      <c r="D104" t="inlineStr">
        <is>
          <t>SKIDDER</t>
        </is>
      </c>
      <c r="E104" t="inlineStr">
        <is>
          <t>LAS ULLOAS (BB)</t>
        </is>
      </c>
      <c r="F104" t="inlineStr">
        <is>
          <t>PIRA</t>
        </is>
      </c>
      <c r="G104" t="n">
        <v>720</v>
      </c>
      <c r="H104" t="n">
        <v>0</v>
      </c>
      <c r="I104" t="n">
        <v>9</v>
      </c>
      <c r="J104" t="n">
        <v>15</v>
      </c>
      <c r="K104" t="n">
        <v>0</v>
      </c>
      <c r="L104" t="n">
        <v>23.37</v>
      </c>
      <c r="M104" t="n">
        <v>0</v>
      </c>
      <c r="N104" t="n">
        <v>120</v>
      </c>
      <c r="O104" t="n">
        <v>100</v>
      </c>
      <c r="P104" t="n">
        <v>2.6</v>
      </c>
    </row>
    <row r="105">
      <c r="A105" t="n">
        <v>826169</v>
      </c>
      <c r="B105" t="inlineStr">
        <is>
          <t>04-05-2026</t>
        </is>
      </c>
      <c r="C105" t="inlineStr">
        <is>
          <t>S223</t>
        </is>
      </c>
      <c r="D105" t="inlineStr">
        <is>
          <t>SKIDDER</t>
        </is>
      </c>
      <c r="E105" t="inlineStr">
        <is>
          <t>LAS ULLOAS (BB)</t>
        </is>
      </c>
      <c r="F105" t="inlineStr">
        <is>
          <t>PIRA</t>
        </is>
      </c>
      <c r="G105" t="n">
        <v>720</v>
      </c>
      <c r="H105" t="n">
        <v>0</v>
      </c>
      <c r="I105" t="n">
        <v>9</v>
      </c>
      <c r="J105" t="n">
        <v>15</v>
      </c>
      <c r="K105" t="n">
        <v>0</v>
      </c>
      <c r="L105" t="n">
        <v>29.3</v>
      </c>
      <c r="M105" t="n">
        <v>0</v>
      </c>
      <c r="N105" t="n">
        <v>120</v>
      </c>
      <c r="O105" t="n">
        <v>100</v>
      </c>
      <c r="P105" t="n">
        <v>3.26</v>
      </c>
    </row>
    <row r="106">
      <c r="A106" t="n">
        <v>826187</v>
      </c>
      <c r="B106" t="inlineStr">
        <is>
          <t>04-05-2026</t>
        </is>
      </c>
      <c r="C106" t="inlineStr">
        <is>
          <t>S123</t>
        </is>
      </c>
      <c r="D106" t="inlineStr">
        <is>
          <t>SKIDDER</t>
        </is>
      </c>
      <c r="E106" t="inlineStr">
        <is>
          <t>EL CABRITO CBB</t>
        </is>
      </c>
      <c r="F106" t="inlineStr">
        <is>
          <t>PIRA</t>
        </is>
      </c>
      <c r="G106" t="n">
        <v>180</v>
      </c>
      <c r="H106" t="n">
        <v>0</v>
      </c>
      <c r="I106" t="n">
        <v>2</v>
      </c>
      <c r="J106" t="n">
        <v>13</v>
      </c>
      <c r="K106" t="n">
        <v>0</v>
      </c>
      <c r="L106" t="n">
        <v>10.79</v>
      </c>
      <c r="M106" t="n">
        <v>30</v>
      </c>
      <c r="N106" t="n">
        <v>30</v>
      </c>
      <c r="O106" t="n">
        <v>99.7</v>
      </c>
      <c r="P106" t="n">
        <v>5.4</v>
      </c>
    </row>
    <row r="107">
      <c r="A107" t="n">
        <v>826187</v>
      </c>
      <c r="B107" t="inlineStr">
        <is>
          <t>04-05-2026</t>
        </is>
      </c>
      <c r="C107" t="inlineStr">
        <is>
          <t>S123</t>
        </is>
      </c>
      <c r="D107" t="inlineStr">
        <is>
          <t>SKIDDER</t>
        </is>
      </c>
      <c r="E107" t="inlineStr">
        <is>
          <t>EL CABRITO CBB</t>
        </is>
      </c>
      <c r="F107" t="inlineStr">
        <is>
          <t>PIRA</t>
        </is>
      </c>
      <c r="G107" t="n">
        <v>180</v>
      </c>
      <c r="H107" t="n">
        <v>0</v>
      </c>
      <c r="I107" t="n">
        <v>2</v>
      </c>
      <c r="J107" t="n">
        <v>13</v>
      </c>
      <c r="K107" t="n">
        <v>0</v>
      </c>
      <c r="L107" t="n">
        <v>31.18</v>
      </c>
      <c r="M107" t="n">
        <v>30</v>
      </c>
      <c r="N107" t="n">
        <v>30</v>
      </c>
      <c r="O107" t="n">
        <v>99.7</v>
      </c>
      <c r="P107" t="n">
        <v>15.59</v>
      </c>
    </row>
    <row r="108">
      <c r="A108" t="n">
        <v>826188</v>
      </c>
      <c r="B108" t="inlineStr">
        <is>
          <t>04-05-2026</t>
        </is>
      </c>
      <c r="C108" t="inlineStr">
        <is>
          <t>S123</t>
        </is>
      </c>
      <c r="D108" t="inlineStr">
        <is>
          <t>SKIDDER</t>
        </is>
      </c>
      <c r="E108" t="inlineStr">
        <is>
          <t>EL CABRITO CBB</t>
        </is>
      </c>
      <c r="F108" t="inlineStr">
        <is>
          <t>PIRA</t>
        </is>
      </c>
      <c r="G108" t="n">
        <v>540</v>
      </c>
      <c r="H108" t="n">
        <v>0</v>
      </c>
      <c r="I108" t="n">
        <v>6.5</v>
      </c>
      <c r="J108" t="n">
        <v>37</v>
      </c>
      <c r="K108" t="n">
        <v>0</v>
      </c>
      <c r="L108" t="n">
        <v>0</v>
      </c>
      <c r="M108" t="n">
        <v>120</v>
      </c>
      <c r="N108" t="n">
        <v>120</v>
      </c>
      <c r="O108" t="n">
        <v>99.59999999999999</v>
      </c>
      <c r="P108" t="n">
        <v>0</v>
      </c>
    </row>
    <row r="109">
      <c r="A109" t="n">
        <v>826188</v>
      </c>
      <c r="B109" t="inlineStr">
        <is>
          <t>04-05-2026</t>
        </is>
      </c>
      <c r="C109" t="inlineStr">
        <is>
          <t>S123</t>
        </is>
      </c>
      <c r="D109" t="inlineStr">
        <is>
          <t>SKIDDER</t>
        </is>
      </c>
      <c r="E109" t="inlineStr">
        <is>
          <t>EL CABRITO CBB</t>
        </is>
      </c>
      <c r="F109" t="inlineStr">
        <is>
          <t>PIRA</t>
        </is>
      </c>
      <c r="G109" t="n">
        <v>540</v>
      </c>
      <c r="H109" t="n">
        <v>0</v>
      </c>
      <c r="I109" t="n">
        <v>6.5</v>
      </c>
      <c r="J109" t="n">
        <v>37</v>
      </c>
      <c r="K109" t="n">
        <v>0</v>
      </c>
      <c r="L109" t="n">
        <v>9.58</v>
      </c>
      <c r="M109" t="n">
        <v>120</v>
      </c>
      <c r="N109" t="n">
        <v>120</v>
      </c>
      <c r="O109" t="n">
        <v>99.59999999999999</v>
      </c>
      <c r="P109" t="n">
        <v>1.47</v>
      </c>
    </row>
    <row r="110">
      <c r="A110" t="n">
        <v>826188</v>
      </c>
      <c r="B110" t="inlineStr">
        <is>
          <t>04-05-2026</t>
        </is>
      </c>
      <c r="C110" t="inlineStr">
        <is>
          <t>S123</t>
        </is>
      </c>
      <c r="D110" t="inlineStr">
        <is>
          <t>SKIDDER</t>
        </is>
      </c>
      <c r="E110" t="inlineStr">
        <is>
          <t>EL CABRITO CBB</t>
        </is>
      </c>
      <c r="F110" t="inlineStr">
        <is>
          <t>PIRA</t>
        </is>
      </c>
      <c r="G110" t="n">
        <v>540</v>
      </c>
      <c r="H110" t="n">
        <v>0</v>
      </c>
      <c r="I110" t="n">
        <v>6.5</v>
      </c>
      <c r="J110" t="n">
        <v>37</v>
      </c>
      <c r="K110" t="n">
        <v>0</v>
      </c>
      <c r="L110" t="n">
        <v>11.66</v>
      </c>
      <c r="M110" t="n">
        <v>120</v>
      </c>
      <c r="N110" t="n">
        <v>120</v>
      </c>
      <c r="O110" t="n">
        <v>99.59999999999999</v>
      </c>
      <c r="P110" t="n">
        <v>1.79</v>
      </c>
    </row>
    <row r="111">
      <c r="A111" t="n">
        <v>826188</v>
      </c>
      <c r="B111" t="inlineStr">
        <is>
          <t>04-05-2026</t>
        </is>
      </c>
      <c r="C111" t="inlineStr">
        <is>
          <t>S123</t>
        </is>
      </c>
      <c r="D111" t="inlineStr">
        <is>
          <t>SKIDDER</t>
        </is>
      </c>
      <c r="E111" t="inlineStr">
        <is>
          <t>EL CABRITO CBB</t>
        </is>
      </c>
      <c r="F111" t="inlineStr">
        <is>
          <t>PIRA</t>
        </is>
      </c>
      <c r="G111" t="n">
        <v>540</v>
      </c>
      <c r="H111" t="n">
        <v>0</v>
      </c>
      <c r="I111" t="n">
        <v>6.5</v>
      </c>
      <c r="J111" t="n">
        <v>37</v>
      </c>
      <c r="K111" t="n">
        <v>0</v>
      </c>
      <c r="L111" t="n">
        <v>28.62</v>
      </c>
      <c r="M111" t="n">
        <v>120</v>
      </c>
      <c r="N111" t="n">
        <v>120</v>
      </c>
      <c r="O111" t="n">
        <v>99.59999999999999</v>
      </c>
      <c r="P111" t="n">
        <v>4.4</v>
      </c>
    </row>
    <row r="112">
      <c r="A112" t="n">
        <v>826188</v>
      </c>
      <c r="B112" t="inlineStr">
        <is>
          <t>04-05-2026</t>
        </is>
      </c>
      <c r="C112" t="inlineStr">
        <is>
          <t>S123</t>
        </is>
      </c>
      <c r="D112" t="inlineStr">
        <is>
          <t>SKIDDER</t>
        </is>
      </c>
      <c r="E112" t="inlineStr">
        <is>
          <t>EL CABRITO CBB</t>
        </is>
      </c>
      <c r="F112" t="inlineStr">
        <is>
          <t>PIRA</t>
        </is>
      </c>
      <c r="G112" t="n">
        <v>540</v>
      </c>
      <c r="H112" t="n">
        <v>0</v>
      </c>
      <c r="I112" t="n">
        <v>6.5</v>
      </c>
      <c r="J112" t="n">
        <v>37</v>
      </c>
      <c r="K112" t="n">
        <v>0</v>
      </c>
      <c r="L112" t="n">
        <v>0</v>
      </c>
      <c r="M112" t="n">
        <v>120</v>
      </c>
      <c r="N112" t="n">
        <v>120</v>
      </c>
      <c r="O112" t="n">
        <v>99.59999999999999</v>
      </c>
      <c r="P112" t="n">
        <v>0</v>
      </c>
    </row>
    <row r="113">
      <c r="A113" t="n">
        <v>826188</v>
      </c>
      <c r="B113" t="inlineStr">
        <is>
          <t>04-05-2026</t>
        </is>
      </c>
      <c r="C113" t="inlineStr">
        <is>
          <t>S123</t>
        </is>
      </c>
      <c r="D113" t="inlineStr">
        <is>
          <t>SKIDDER</t>
        </is>
      </c>
      <c r="E113" t="inlineStr">
        <is>
          <t>EL CABRITO CBB</t>
        </is>
      </c>
      <c r="F113" t="inlineStr">
        <is>
          <t>PIRA</t>
        </is>
      </c>
      <c r="G113" t="n">
        <v>540</v>
      </c>
      <c r="H113" t="n">
        <v>0</v>
      </c>
      <c r="I113" t="n">
        <v>6.5</v>
      </c>
      <c r="J113" t="n">
        <v>37</v>
      </c>
      <c r="K113" t="n">
        <v>0</v>
      </c>
      <c r="L113" t="n">
        <v>0</v>
      </c>
      <c r="M113" t="n">
        <v>120</v>
      </c>
      <c r="N113" t="n">
        <v>120</v>
      </c>
      <c r="O113" t="n">
        <v>99.59999999999999</v>
      </c>
      <c r="P113" t="n">
        <v>0</v>
      </c>
    </row>
    <row r="114">
      <c r="A114" t="n">
        <v>826188</v>
      </c>
      <c r="B114" t="inlineStr">
        <is>
          <t>04-05-2026</t>
        </is>
      </c>
      <c r="C114" t="inlineStr">
        <is>
          <t>S123</t>
        </is>
      </c>
      <c r="D114" t="inlineStr">
        <is>
          <t>SKIDDER</t>
        </is>
      </c>
      <c r="E114" t="inlineStr">
        <is>
          <t>EL CABRITO CBB</t>
        </is>
      </c>
      <c r="F114" t="inlineStr">
        <is>
          <t>PIRA</t>
        </is>
      </c>
      <c r="G114" t="n">
        <v>540</v>
      </c>
      <c r="H114" t="n">
        <v>0</v>
      </c>
      <c r="I114" t="n">
        <v>6.5</v>
      </c>
      <c r="J114" t="n">
        <v>37</v>
      </c>
      <c r="K114" t="n">
        <v>0</v>
      </c>
      <c r="L114" t="n">
        <v>26.86</v>
      </c>
      <c r="M114" t="n">
        <v>120</v>
      </c>
      <c r="N114" t="n">
        <v>120</v>
      </c>
      <c r="O114" t="n">
        <v>99.59999999999999</v>
      </c>
      <c r="P114" t="n">
        <v>4.13</v>
      </c>
    </row>
    <row r="115">
      <c r="A115" t="n">
        <v>826188</v>
      </c>
      <c r="B115" t="inlineStr">
        <is>
          <t>04-05-2026</t>
        </is>
      </c>
      <c r="C115" t="inlineStr">
        <is>
          <t>S123</t>
        </is>
      </c>
      <c r="D115" t="inlineStr">
        <is>
          <t>SKIDDER</t>
        </is>
      </c>
      <c r="E115" t="inlineStr">
        <is>
          <t>EL CABRITO CBB</t>
        </is>
      </c>
      <c r="F115" t="inlineStr">
        <is>
          <t>PIRA</t>
        </is>
      </c>
      <c r="G115" t="n">
        <v>540</v>
      </c>
      <c r="H115" t="n">
        <v>0</v>
      </c>
      <c r="I115" t="n">
        <v>6.5</v>
      </c>
      <c r="J115" t="n">
        <v>37</v>
      </c>
      <c r="K115" t="n">
        <v>0</v>
      </c>
      <c r="L115" t="n">
        <v>16.4</v>
      </c>
      <c r="M115" t="n">
        <v>120</v>
      </c>
      <c r="N115" t="n">
        <v>120</v>
      </c>
      <c r="O115" t="n">
        <v>99.59999999999999</v>
      </c>
      <c r="P115" t="n">
        <v>2.52</v>
      </c>
    </row>
    <row r="116">
      <c r="A116" t="n">
        <v>826188</v>
      </c>
      <c r="B116" t="inlineStr">
        <is>
          <t>04-05-2026</t>
        </is>
      </c>
      <c r="C116" t="inlineStr">
        <is>
          <t>S123</t>
        </is>
      </c>
      <c r="D116" t="inlineStr">
        <is>
          <t>SKIDDER</t>
        </is>
      </c>
      <c r="E116" t="inlineStr">
        <is>
          <t>EL CABRITO CBB</t>
        </is>
      </c>
      <c r="F116" t="inlineStr">
        <is>
          <t>PIRA</t>
        </is>
      </c>
      <c r="G116" t="n">
        <v>540</v>
      </c>
      <c r="H116" t="n">
        <v>0</v>
      </c>
      <c r="I116" t="n">
        <v>6.5</v>
      </c>
      <c r="J116" t="n">
        <v>37</v>
      </c>
      <c r="K116" t="n">
        <v>0</v>
      </c>
      <c r="L116" t="n">
        <v>15.18</v>
      </c>
      <c r="M116" t="n">
        <v>120</v>
      </c>
      <c r="N116" t="n">
        <v>120</v>
      </c>
      <c r="O116" t="n">
        <v>99.59999999999999</v>
      </c>
      <c r="P116" t="n">
        <v>2.33</v>
      </c>
    </row>
    <row r="117">
      <c r="A117" t="n">
        <v>826188</v>
      </c>
      <c r="B117" t="inlineStr">
        <is>
          <t>04-05-2026</t>
        </is>
      </c>
      <c r="C117" t="inlineStr">
        <is>
          <t>S123</t>
        </is>
      </c>
      <c r="D117" t="inlineStr">
        <is>
          <t>SKIDDER</t>
        </is>
      </c>
      <c r="E117" t="inlineStr">
        <is>
          <t>EL CABRITO CBB</t>
        </is>
      </c>
      <c r="F117" t="inlineStr">
        <is>
          <t>PIRA</t>
        </is>
      </c>
      <c r="G117" t="n">
        <v>540</v>
      </c>
      <c r="H117" t="n">
        <v>0</v>
      </c>
      <c r="I117" t="n">
        <v>6.5</v>
      </c>
      <c r="J117" t="n">
        <v>37</v>
      </c>
      <c r="K117" t="n">
        <v>0</v>
      </c>
      <c r="L117" t="n">
        <v>0</v>
      </c>
      <c r="M117" t="n">
        <v>120</v>
      </c>
      <c r="N117" t="n">
        <v>120</v>
      </c>
      <c r="O117" t="n">
        <v>99.59999999999999</v>
      </c>
      <c r="P117" t="n">
        <v>0</v>
      </c>
    </row>
    <row r="118">
      <c r="A118" t="n">
        <v>826197</v>
      </c>
      <c r="B118" t="inlineStr">
        <is>
          <t>04-05-2026</t>
        </is>
      </c>
      <c r="C118" t="inlineStr">
        <is>
          <t>T125</t>
        </is>
      </c>
      <c r="D118" t="inlineStr">
        <is>
          <t>TORRE500</t>
        </is>
      </c>
      <c r="E118" t="inlineStr">
        <is>
          <t>POLHUIN</t>
        </is>
      </c>
      <c r="F118" t="inlineStr">
        <is>
          <t>EUGL</t>
        </is>
      </c>
      <c r="G118" t="n">
        <v>720</v>
      </c>
      <c r="H118" t="n">
        <v>0</v>
      </c>
      <c r="I118" t="n">
        <v>11</v>
      </c>
      <c r="J118" t="n">
        <v>112</v>
      </c>
      <c r="K118" t="n">
        <v>0</v>
      </c>
      <c r="L118" t="n">
        <v>151.39</v>
      </c>
      <c r="M118" t="n">
        <v>0</v>
      </c>
      <c r="N118" t="n">
        <v>0</v>
      </c>
      <c r="O118" t="n">
        <v>100</v>
      </c>
      <c r="P118" t="n">
        <v>13.76</v>
      </c>
    </row>
    <row r="119">
      <c r="A119" t="n">
        <v>826202</v>
      </c>
      <c r="B119" t="inlineStr">
        <is>
          <t>04-05-2026</t>
        </is>
      </c>
      <c r="C119" t="inlineStr">
        <is>
          <t>S246</t>
        </is>
      </c>
      <c r="D119" t="inlineStr">
        <is>
          <t>SKIDDER</t>
        </is>
      </c>
      <c r="E119" t="inlineStr">
        <is>
          <t>COIHUECO Y OTROS (BB)</t>
        </is>
      </c>
      <c r="F119" t="inlineStr">
        <is>
          <t>PIRA</t>
        </is>
      </c>
      <c r="G119" t="n">
        <v>720</v>
      </c>
      <c r="H119" t="n">
        <v>0</v>
      </c>
      <c r="I119" t="n">
        <v>1</v>
      </c>
      <c r="J119" t="n">
        <v>3</v>
      </c>
      <c r="K119" t="n">
        <v>0</v>
      </c>
      <c r="L119" t="n">
        <v>0</v>
      </c>
      <c r="M119" t="n">
        <v>600</v>
      </c>
      <c r="N119" t="n">
        <v>600</v>
      </c>
      <c r="O119" t="n">
        <v>98.59999999999999</v>
      </c>
      <c r="P119" t="n">
        <v>0</v>
      </c>
    </row>
    <row r="120">
      <c r="A120" t="n">
        <v>826202</v>
      </c>
      <c r="B120" t="inlineStr">
        <is>
          <t>04-05-2026</t>
        </is>
      </c>
      <c r="C120" t="inlineStr">
        <is>
          <t>S246</t>
        </is>
      </c>
      <c r="D120" t="inlineStr">
        <is>
          <t>SKIDDER</t>
        </is>
      </c>
      <c r="E120" t="inlineStr">
        <is>
          <t>COIHUECO Y OTROS (BB)</t>
        </is>
      </c>
      <c r="F120" t="inlineStr">
        <is>
          <t>PIRA</t>
        </is>
      </c>
      <c r="G120" t="n">
        <v>720</v>
      </c>
      <c r="H120" t="n">
        <v>0</v>
      </c>
      <c r="I120" t="n">
        <v>1</v>
      </c>
      <c r="J120" t="n">
        <v>3</v>
      </c>
      <c r="K120" t="n">
        <v>0</v>
      </c>
      <c r="L120" t="n">
        <v>0</v>
      </c>
      <c r="M120" t="n">
        <v>600</v>
      </c>
      <c r="N120" t="n">
        <v>600</v>
      </c>
      <c r="O120" t="n">
        <v>98.59999999999999</v>
      </c>
      <c r="P120" t="n">
        <v>0</v>
      </c>
    </row>
    <row r="121">
      <c r="A121" t="n">
        <v>826202</v>
      </c>
      <c r="B121" t="inlineStr">
        <is>
          <t>04-05-2026</t>
        </is>
      </c>
      <c r="C121" t="inlineStr">
        <is>
          <t>S246</t>
        </is>
      </c>
      <c r="D121" t="inlineStr">
        <is>
          <t>SKIDDER</t>
        </is>
      </c>
      <c r="E121" t="inlineStr">
        <is>
          <t>COIHUECO Y OTROS (BB)</t>
        </is>
      </c>
      <c r="F121" t="inlineStr">
        <is>
          <t>PIRA</t>
        </is>
      </c>
      <c r="G121" t="n">
        <v>720</v>
      </c>
      <c r="H121" t="n">
        <v>0</v>
      </c>
      <c r="I121" t="n">
        <v>1</v>
      </c>
      <c r="J121" t="n">
        <v>3</v>
      </c>
      <c r="K121" t="n">
        <v>0</v>
      </c>
      <c r="L121" t="n">
        <v>0</v>
      </c>
      <c r="M121" t="n">
        <v>600</v>
      </c>
      <c r="N121" t="n">
        <v>600</v>
      </c>
      <c r="O121" t="n">
        <v>98.59999999999999</v>
      </c>
      <c r="P121" t="n">
        <v>0</v>
      </c>
    </row>
    <row r="122">
      <c r="A122" t="n">
        <v>826202</v>
      </c>
      <c r="B122" t="inlineStr">
        <is>
          <t>04-05-2026</t>
        </is>
      </c>
      <c r="C122" t="inlineStr">
        <is>
          <t>S246</t>
        </is>
      </c>
      <c r="D122" t="inlineStr">
        <is>
          <t>SKIDDER</t>
        </is>
      </c>
      <c r="E122" t="inlineStr">
        <is>
          <t>COIHUECO Y OTROS (BB)</t>
        </is>
      </c>
      <c r="F122" t="inlineStr">
        <is>
          <t>PIRA</t>
        </is>
      </c>
      <c r="G122" t="n">
        <v>720</v>
      </c>
      <c r="H122" t="n">
        <v>0</v>
      </c>
      <c r="I122" t="n">
        <v>1</v>
      </c>
      <c r="J122" t="n">
        <v>3</v>
      </c>
      <c r="K122" t="n">
        <v>0</v>
      </c>
      <c r="L122" t="n">
        <v>0</v>
      </c>
      <c r="M122" t="n">
        <v>600</v>
      </c>
      <c r="N122" t="n">
        <v>600</v>
      </c>
      <c r="O122" t="n">
        <v>98.59999999999999</v>
      </c>
      <c r="P122" t="n">
        <v>0</v>
      </c>
    </row>
    <row r="123">
      <c r="A123" t="n">
        <v>826202</v>
      </c>
      <c r="B123" t="inlineStr">
        <is>
          <t>04-05-2026</t>
        </is>
      </c>
      <c r="C123" t="inlineStr">
        <is>
          <t>S246</t>
        </is>
      </c>
      <c r="D123" t="inlineStr">
        <is>
          <t>SKIDDER</t>
        </is>
      </c>
      <c r="E123" t="inlineStr">
        <is>
          <t>COIHUECO Y OTROS (BB)</t>
        </is>
      </c>
      <c r="F123" t="inlineStr">
        <is>
          <t>PIRA</t>
        </is>
      </c>
      <c r="G123" t="n">
        <v>720</v>
      </c>
      <c r="H123" t="n">
        <v>0</v>
      </c>
      <c r="I123" t="n">
        <v>1</v>
      </c>
      <c r="J123" t="n">
        <v>3</v>
      </c>
      <c r="K123" t="n">
        <v>0</v>
      </c>
      <c r="L123" t="n">
        <v>8.01</v>
      </c>
      <c r="M123" t="n">
        <v>600</v>
      </c>
      <c r="N123" t="n">
        <v>600</v>
      </c>
      <c r="O123" t="n">
        <v>98.59999999999999</v>
      </c>
      <c r="P123" t="n">
        <v>8.01</v>
      </c>
    </row>
    <row r="124">
      <c r="A124" t="n">
        <v>826202</v>
      </c>
      <c r="B124" t="inlineStr">
        <is>
          <t>04-05-2026</t>
        </is>
      </c>
      <c r="C124" t="inlineStr">
        <is>
          <t>S246</t>
        </is>
      </c>
      <c r="D124" t="inlineStr">
        <is>
          <t>SKIDDER</t>
        </is>
      </c>
      <c r="E124" t="inlineStr">
        <is>
          <t>COIHUECO Y OTROS (BB)</t>
        </is>
      </c>
      <c r="F124" t="inlineStr">
        <is>
          <t>PIRA</t>
        </is>
      </c>
      <c r="G124" t="n">
        <v>720</v>
      </c>
      <c r="H124" t="n">
        <v>0</v>
      </c>
      <c r="I124" t="n">
        <v>1</v>
      </c>
      <c r="J124" t="n">
        <v>3</v>
      </c>
      <c r="K124" t="n">
        <v>0</v>
      </c>
      <c r="L124" t="n">
        <v>0</v>
      </c>
      <c r="M124" t="n">
        <v>600</v>
      </c>
      <c r="N124" t="n">
        <v>600</v>
      </c>
      <c r="O124" t="n">
        <v>98.59999999999999</v>
      </c>
      <c r="P124" t="n">
        <v>0</v>
      </c>
    </row>
    <row r="125">
      <c r="A125" t="n">
        <v>826202</v>
      </c>
      <c r="B125" t="inlineStr">
        <is>
          <t>04-05-2026</t>
        </is>
      </c>
      <c r="C125" t="inlineStr">
        <is>
          <t>S246</t>
        </is>
      </c>
      <c r="D125" t="inlineStr">
        <is>
          <t>SKIDDER</t>
        </is>
      </c>
      <c r="E125" t="inlineStr">
        <is>
          <t>COIHUECO Y OTROS (BB)</t>
        </is>
      </c>
      <c r="F125" t="inlineStr">
        <is>
          <t>PIRA</t>
        </is>
      </c>
      <c r="G125" t="n">
        <v>720</v>
      </c>
      <c r="H125" t="n">
        <v>0</v>
      </c>
      <c r="I125" t="n">
        <v>1</v>
      </c>
      <c r="J125" t="n">
        <v>3</v>
      </c>
      <c r="K125" t="n">
        <v>0</v>
      </c>
      <c r="L125" t="n">
        <v>0</v>
      </c>
      <c r="M125" t="n">
        <v>600</v>
      </c>
      <c r="N125" t="n">
        <v>600</v>
      </c>
      <c r="O125" t="n">
        <v>98.59999999999999</v>
      </c>
      <c r="P125" t="n">
        <v>0</v>
      </c>
    </row>
    <row r="126">
      <c r="A126" t="n">
        <v>826202</v>
      </c>
      <c r="B126" t="inlineStr">
        <is>
          <t>04-05-2026</t>
        </is>
      </c>
      <c r="C126" t="inlineStr">
        <is>
          <t>S246</t>
        </is>
      </c>
      <c r="D126" t="inlineStr">
        <is>
          <t>SKIDDER</t>
        </is>
      </c>
      <c r="E126" t="inlineStr">
        <is>
          <t>COIHUECO Y OTROS (BB)</t>
        </is>
      </c>
      <c r="F126" t="inlineStr">
        <is>
          <t>PIRA</t>
        </is>
      </c>
      <c r="G126" t="n">
        <v>720</v>
      </c>
      <c r="H126" t="n">
        <v>0</v>
      </c>
      <c r="I126" t="n">
        <v>1</v>
      </c>
      <c r="J126" t="n">
        <v>3</v>
      </c>
      <c r="K126" t="n">
        <v>0</v>
      </c>
      <c r="L126" t="n">
        <v>0</v>
      </c>
      <c r="M126" t="n">
        <v>600</v>
      </c>
      <c r="N126" t="n">
        <v>600</v>
      </c>
      <c r="O126" t="n">
        <v>98.59999999999999</v>
      </c>
      <c r="P126" t="n">
        <v>0</v>
      </c>
    </row>
    <row r="127">
      <c r="A127" t="n">
        <v>826202</v>
      </c>
      <c r="B127" t="inlineStr">
        <is>
          <t>04-05-2026</t>
        </is>
      </c>
      <c r="C127" t="inlineStr">
        <is>
          <t>S246</t>
        </is>
      </c>
      <c r="D127" t="inlineStr">
        <is>
          <t>SKIDDER</t>
        </is>
      </c>
      <c r="E127" t="inlineStr">
        <is>
          <t>COIHUECO Y OTROS (BB)</t>
        </is>
      </c>
      <c r="F127" t="inlineStr">
        <is>
          <t>PIRA</t>
        </is>
      </c>
      <c r="G127" t="n">
        <v>720</v>
      </c>
      <c r="H127" t="n">
        <v>0</v>
      </c>
      <c r="I127" t="n">
        <v>1</v>
      </c>
      <c r="J127" t="n">
        <v>3</v>
      </c>
      <c r="K127" t="n">
        <v>0</v>
      </c>
      <c r="L127" t="n">
        <v>0</v>
      </c>
      <c r="M127" t="n">
        <v>600</v>
      </c>
      <c r="N127" t="n">
        <v>600</v>
      </c>
      <c r="O127" t="n">
        <v>98.59999999999999</v>
      </c>
      <c r="P127" t="n">
        <v>0</v>
      </c>
    </row>
    <row r="128">
      <c r="A128" t="n">
        <v>826207</v>
      </c>
      <c r="B128" t="inlineStr">
        <is>
          <t>04-05-2026</t>
        </is>
      </c>
      <c r="C128" t="inlineStr">
        <is>
          <t>TEA08</t>
        </is>
      </c>
      <c r="D128" t="inlineStr">
        <is>
          <t>FORWINCH</t>
        </is>
      </c>
      <c r="E128" t="inlineStr">
        <is>
          <t>COIHUECO Y OTROS (BB)</t>
        </is>
      </c>
      <c r="F128" t="inlineStr">
        <is>
          <t>PIRA</t>
        </is>
      </c>
      <c r="G128" t="n">
        <v>720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660</v>
      </c>
      <c r="N128" t="n">
        <v>660</v>
      </c>
      <c r="O128" t="n">
        <v>98.5</v>
      </c>
      <c r="P128" t="n">
        <v>0</v>
      </c>
    </row>
    <row r="129">
      <c r="A129" t="n">
        <v>826207</v>
      </c>
      <c r="B129" t="inlineStr">
        <is>
          <t>04-05-2026</t>
        </is>
      </c>
      <c r="C129" t="inlineStr">
        <is>
          <t>TEA08</t>
        </is>
      </c>
      <c r="D129" t="inlineStr">
        <is>
          <t>FORWINCH</t>
        </is>
      </c>
      <c r="E129" t="inlineStr">
        <is>
          <t>COIHUECO Y OTROS (BB)</t>
        </is>
      </c>
      <c r="F129" t="inlineStr">
        <is>
          <t>PIRA</t>
        </is>
      </c>
      <c r="G129" t="n">
        <v>720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660</v>
      </c>
      <c r="N129" t="n">
        <v>660</v>
      </c>
      <c r="O129" t="n">
        <v>98.5</v>
      </c>
      <c r="P129" t="n">
        <v>0</v>
      </c>
    </row>
    <row r="130">
      <c r="A130" t="n">
        <v>826207</v>
      </c>
      <c r="B130" t="inlineStr">
        <is>
          <t>04-05-2026</t>
        </is>
      </c>
      <c r="C130" t="inlineStr">
        <is>
          <t>TEA08</t>
        </is>
      </c>
      <c r="D130" t="inlineStr">
        <is>
          <t>FORWINCH</t>
        </is>
      </c>
      <c r="E130" t="inlineStr">
        <is>
          <t>COIHUECO Y OTROS (BB)</t>
        </is>
      </c>
      <c r="F130" t="inlineStr">
        <is>
          <t>PIRA</t>
        </is>
      </c>
      <c r="G130" t="n">
        <v>720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660</v>
      </c>
      <c r="N130" t="n">
        <v>660</v>
      </c>
      <c r="O130" t="n">
        <v>98.5</v>
      </c>
      <c r="P130" t="n">
        <v>0</v>
      </c>
    </row>
    <row r="131">
      <c r="A131" t="n">
        <v>826207</v>
      </c>
      <c r="B131" t="inlineStr">
        <is>
          <t>04-05-2026</t>
        </is>
      </c>
      <c r="C131" t="inlineStr">
        <is>
          <t>TEA08</t>
        </is>
      </c>
      <c r="D131" t="inlineStr">
        <is>
          <t>FORWINCH</t>
        </is>
      </c>
      <c r="E131" t="inlineStr">
        <is>
          <t>COIHUECO Y OTROS (BB)</t>
        </is>
      </c>
      <c r="F131" t="inlineStr">
        <is>
          <t>PIRA</t>
        </is>
      </c>
      <c r="G131" t="n">
        <v>720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660</v>
      </c>
      <c r="N131" t="n">
        <v>660</v>
      </c>
      <c r="O131" t="n">
        <v>98.5</v>
      </c>
      <c r="P131" t="n">
        <v>0</v>
      </c>
    </row>
    <row r="132">
      <c r="A132" t="n">
        <v>826207</v>
      </c>
      <c r="B132" t="inlineStr">
        <is>
          <t>04-05-2026</t>
        </is>
      </c>
      <c r="C132" t="inlineStr">
        <is>
          <t>TEA08</t>
        </is>
      </c>
      <c r="D132" t="inlineStr">
        <is>
          <t>FORWINCH</t>
        </is>
      </c>
      <c r="E132" t="inlineStr">
        <is>
          <t>COIHUECO Y OTROS (BB)</t>
        </is>
      </c>
      <c r="F132" t="inlineStr">
        <is>
          <t>PIRA</t>
        </is>
      </c>
      <c r="G132" t="n">
        <v>720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660</v>
      </c>
      <c r="N132" t="n">
        <v>660</v>
      </c>
      <c r="O132" t="n">
        <v>98.5</v>
      </c>
      <c r="P132" t="n">
        <v>0</v>
      </c>
    </row>
    <row r="133">
      <c r="A133" t="n">
        <v>826207</v>
      </c>
      <c r="B133" t="inlineStr">
        <is>
          <t>04-05-2026</t>
        </is>
      </c>
      <c r="C133" t="inlineStr">
        <is>
          <t>TEA08</t>
        </is>
      </c>
      <c r="D133" t="inlineStr">
        <is>
          <t>FORWINCH</t>
        </is>
      </c>
      <c r="E133" t="inlineStr">
        <is>
          <t>COIHUECO Y OTROS (BB)</t>
        </is>
      </c>
      <c r="F133" t="inlineStr">
        <is>
          <t>PIRA</t>
        </is>
      </c>
      <c r="G133" t="n">
        <v>720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660</v>
      </c>
      <c r="N133" t="n">
        <v>660</v>
      </c>
      <c r="O133" t="n">
        <v>98.5</v>
      </c>
      <c r="P133" t="n">
        <v>0</v>
      </c>
    </row>
    <row r="134">
      <c r="A134" t="n">
        <v>826209</v>
      </c>
      <c r="B134" t="inlineStr">
        <is>
          <t>04-05-2026</t>
        </is>
      </c>
      <c r="C134" t="inlineStr">
        <is>
          <t>S58</t>
        </is>
      </c>
      <c r="D134" t="inlineStr">
        <is>
          <t>SKIDDER</t>
        </is>
      </c>
      <c r="E134" t="inlineStr">
        <is>
          <t>COIHUECO Y OTROS (BB)</t>
        </is>
      </c>
      <c r="F134" t="inlineStr">
        <is>
          <t>PIRA</t>
        </is>
      </c>
      <c r="G134" t="n">
        <v>600</v>
      </c>
      <c r="H134" t="n">
        <v>0</v>
      </c>
      <c r="I134" t="n">
        <v>4</v>
      </c>
      <c r="J134" t="n">
        <v>21</v>
      </c>
      <c r="K134" t="n">
        <v>0</v>
      </c>
      <c r="L134" t="n">
        <v>3.35</v>
      </c>
      <c r="M134" t="n">
        <v>0</v>
      </c>
      <c r="N134" t="n">
        <v>300</v>
      </c>
      <c r="O134" t="n">
        <v>100</v>
      </c>
      <c r="P134" t="n">
        <v>0.84</v>
      </c>
    </row>
    <row r="135">
      <c r="A135" t="n">
        <v>826209</v>
      </c>
      <c r="B135" t="inlineStr">
        <is>
          <t>04-05-2026</t>
        </is>
      </c>
      <c r="C135" t="inlineStr">
        <is>
          <t>S58</t>
        </is>
      </c>
      <c r="D135" t="inlineStr">
        <is>
          <t>SKIDDER</t>
        </is>
      </c>
      <c r="E135" t="inlineStr">
        <is>
          <t>COIHUECO Y OTROS (BB)</t>
        </is>
      </c>
      <c r="F135" t="inlineStr">
        <is>
          <t>PIRA</t>
        </is>
      </c>
      <c r="G135" t="n">
        <v>600</v>
      </c>
      <c r="H135" t="n">
        <v>0</v>
      </c>
      <c r="I135" t="n">
        <v>4</v>
      </c>
      <c r="J135" t="n">
        <v>21</v>
      </c>
      <c r="K135" t="n">
        <v>0</v>
      </c>
      <c r="L135" t="n">
        <v>7.39</v>
      </c>
      <c r="M135" t="n">
        <v>0</v>
      </c>
      <c r="N135" t="n">
        <v>300</v>
      </c>
      <c r="O135" t="n">
        <v>100</v>
      </c>
      <c r="P135" t="n">
        <v>1.85</v>
      </c>
    </row>
    <row r="136">
      <c r="A136" t="n">
        <v>826209</v>
      </c>
      <c r="B136" t="inlineStr">
        <is>
          <t>04-05-2026</t>
        </is>
      </c>
      <c r="C136" t="inlineStr">
        <is>
          <t>S58</t>
        </is>
      </c>
      <c r="D136" t="inlineStr">
        <is>
          <t>SKIDDER</t>
        </is>
      </c>
      <c r="E136" t="inlineStr">
        <is>
          <t>COIHUECO Y OTROS (BB)</t>
        </is>
      </c>
      <c r="F136" t="inlineStr">
        <is>
          <t>PIRA</t>
        </is>
      </c>
      <c r="G136" t="n">
        <v>600</v>
      </c>
      <c r="H136" t="n">
        <v>0</v>
      </c>
      <c r="I136" t="n">
        <v>4</v>
      </c>
      <c r="J136" t="n">
        <v>21</v>
      </c>
      <c r="K136" t="n">
        <v>0</v>
      </c>
      <c r="L136" t="n">
        <v>6.18</v>
      </c>
      <c r="M136" t="n">
        <v>0</v>
      </c>
      <c r="N136" t="n">
        <v>300</v>
      </c>
      <c r="O136" t="n">
        <v>100</v>
      </c>
      <c r="P136" t="n">
        <v>1.54</v>
      </c>
    </row>
    <row r="137">
      <c r="A137" t="n">
        <v>826209</v>
      </c>
      <c r="B137" t="inlineStr">
        <is>
          <t>04-05-2026</t>
        </is>
      </c>
      <c r="C137" t="inlineStr">
        <is>
          <t>S58</t>
        </is>
      </c>
      <c r="D137" t="inlineStr">
        <is>
          <t>SKIDDER</t>
        </is>
      </c>
      <c r="E137" t="inlineStr">
        <is>
          <t>COIHUECO Y OTROS (BB)</t>
        </is>
      </c>
      <c r="F137" t="inlineStr">
        <is>
          <t>PIRA</t>
        </is>
      </c>
      <c r="G137" t="n">
        <v>600</v>
      </c>
      <c r="H137" t="n">
        <v>0</v>
      </c>
      <c r="I137" t="n">
        <v>4</v>
      </c>
      <c r="J137" t="n">
        <v>21</v>
      </c>
      <c r="K137" t="n">
        <v>0</v>
      </c>
      <c r="L137" t="n">
        <v>7.97</v>
      </c>
      <c r="M137" t="n">
        <v>0</v>
      </c>
      <c r="N137" t="n">
        <v>300</v>
      </c>
      <c r="O137" t="n">
        <v>100</v>
      </c>
      <c r="P137" t="n">
        <v>1.99</v>
      </c>
    </row>
    <row r="138">
      <c r="A138" t="n">
        <v>826209</v>
      </c>
      <c r="B138" t="inlineStr">
        <is>
          <t>04-05-2026</t>
        </is>
      </c>
      <c r="C138" t="inlineStr">
        <is>
          <t>S58</t>
        </is>
      </c>
      <c r="D138" t="inlineStr">
        <is>
          <t>SKIDDER</t>
        </is>
      </c>
      <c r="E138" t="inlineStr">
        <is>
          <t>COIHUECO Y OTROS (BB)</t>
        </is>
      </c>
      <c r="F138" t="inlineStr">
        <is>
          <t>PIRA</t>
        </is>
      </c>
      <c r="G138" t="n">
        <v>600</v>
      </c>
      <c r="H138" t="n">
        <v>0</v>
      </c>
      <c r="I138" t="n">
        <v>4</v>
      </c>
      <c r="J138" t="n">
        <v>21</v>
      </c>
      <c r="K138" t="n">
        <v>0</v>
      </c>
      <c r="L138" t="n">
        <v>30.25</v>
      </c>
      <c r="M138" t="n">
        <v>0</v>
      </c>
      <c r="N138" t="n">
        <v>300</v>
      </c>
      <c r="O138" t="n">
        <v>100</v>
      </c>
      <c r="P138" t="n">
        <v>7.56</v>
      </c>
    </row>
    <row r="139">
      <c r="A139" t="n">
        <v>826209</v>
      </c>
      <c r="B139" t="inlineStr">
        <is>
          <t>04-05-2026</t>
        </is>
      </c>
      <c r="C139" t="inlineStr">
        <is>
          <t>S58</t>
        </is>
      </c>
      <c r="D139" t="inlineStr">
        <is>
          <t>SKIDDER</t>
        </is>
      </c>
      <c r="E139" t="inlineStr">
        <is>
          <t>COIHUECO Y OTROS (BB)</t>
        </is>
      </c>
      <c r="F139" t="inlineStr">
        <is>
          <t>PIRA</t>
        </is>
      </c>
      <c r="G139" t="n">
        <v>600</v>
      </c>
      <c r="H139" t="n">
        <v>0</v>
      </c>
      <c r="I139" t="n">
        <v>4</v>
      </c>
      <c r="J139" t="n">
        <v>21</v>
      </c>
      <c r="K139" t="n">
        <v>0</v>
      </c>
      <c r="L139" t="n">
        <v>4.43</v>
      </c>
      <c r="M139" t="n">
        <v>0</v>
      </c>
      <c r="N139" t="n">
        <v>300</v>
      </c>
      <c r="O139" t="n">
        <v>100</v>
      </c>
      <c r="P139" t="n">
        <v>1.11</v>
      </c>
    </row>
    <row r="140">
      <c r="A140" t="n">
        <v>826209</v>
      </c>
      <c r="B140" t="inlineStr">
        <is>
          <t>04-05-2026</t>
        </is>
      </c>
      <c r="C140" t="inlineStr">
        <is>
          <t>S58</t>
        </is>
      </c>
      <c r="D140" t="inlineStr">
        <is>
          <t>SKIDDER</t>
        </is>
      </c>
      <c r="E140" t="inlineStr">
        <is>
          <t>COIHUECO Y OTROS (BB)</t>
        </is>
      </c>
      <c r="F140" t="inlineStr">
        <is>
          <t>PIRA</t>
        </is>
      </c>
      <c r="G140" t="n">
        <v>600</v>
      </c>
      <c r="H140" t="n">
        <v>0</v>
      </c>
      <c r="I140" t="n">
        <v>4</v>
      </c>
      <c r="J140" t="n">
        <v>21</v>
      </c>
      <c r="K140" t="n">
        <v>0</v>
      </c>
      <c r="L140" t="n">
        <v>14.92</v>
      </c>
      <c r="M140" t="n">
        <v>0</v>
      </c>
      <c r="N140" t="n">
        <v>300</v>
      </c>
      <c r="O140" t="n">
        <v>100</v>
      </c>
      <c r="P140" t="n">
        <v>3.73</v>
      </c>
    </row>
    <row r="141">
      <c r="A141" t="n">
        <v>826212</v>
      </c>
      <c r="B141" t="inlineStr">
        <is>
          <t>04-05-2026</t>
        </is>
      </c>
      <c r="C141" t="inlineStr">
        <is>
          <t>MG5</t>
        </is>
      </c>
      <c r="D141" t="inlineStr">
        <is>
          <t>GRAPPLE</t>
        </is>
      </c>
      <c r="E141" t="inlineStr">
        <is>
          <t>CE-27 ESPINALILLO YBAR</t>
        </is>
      </c>
      <c r="F141" t="inlineStr">
        <is>
          <t>PIRA</t>
        </is>
      </c>
      <c r="G141" t="n">
        <v>720</v>
      </c>
      <c r="H141" t="n">
        <v>0</v>
      </c>
      <c r="I141" t="n">
        <v>10</v>
      </c>
      <c r="J141" t="n">
        <v>100</v>
      </c>
      <c r="K141" t="n">
        <v>0</v>
      </c>
      <c r="L141" t="n">
        <v>35.83</v>
      </c>
      <c r="M141" t="n">
        <v>0</v>
      </c>
      <c r="N141" t="n">
        <v>60</v>
      </c>
      <c r="O141" t="n">
        <v>100</v>
      </c>
      <c r="P141" t="n">
        <v>3.58</v>
      </c>
    </row>
    <row r="142">
      <c r="A142" t="n">
        <v>826212</v>
      </c>
      <c r="B142" t="inlineStr">
        <is>
          <t>04-05-2026</t>
        </is>
      </c>
      <c r="C142" t="inlineStr">
        <is>
          <t>MG5</t>
        </is>
      </c>
      <c r="D142" t="inlineStr">
        <is>
          <t>GRAPPLE</t>
        </is>
      </c>
      <c r="E142" t="inlineStr">
        <is>
          <t>CE-27 ESPINALILLO YBAR</t>
        </is>
      </c>
      <c r="F142" t="inlineStr">
        <is>
          <t>PIRA</t>
        </is>
      </c>
      <c r="G142" t="n">
        <v>720</v>
      </c>
      <c r="H142" t="n">
        <v>0</v>
      </c>
      <c r="I142" t="n">
        <v>10</v>
      </c>
      <c r="J142" t="n">
        <v>100</v>
      </c>
      <c r="K142" t="n">
        <v>0</v>
      </c>
      <c r="L142" t="n">
        <v>87.14</v>
      </c>
      <c r="M142" t="n">
        <v>0</v>
      </c>
      <c r="N142" t="n">
        <v>60</v>
      </c>
      <c r="O142" t="n">
        <v>100</v>
      </c>
      <c r="P142" t="n">
        <v>8.710000000000001</v>
      </c>
    </row>
    <row r="143">
      <c r="A143" t="n">
        <v>826212</v>
      </c>
      <c r="B143" t="inlineStr">
        <is>
          <t>04-05-2026</t>
        </is>
      </c>
      <c r="C143" t="inlineStr">
        <is>
          <t>MG5</t>
        </is>
      </c>
      <c r="D143" t="inlineStr">
        <is>
          <t>GRAPPLE</t>
        </is>
      </c>
      <c r="E143" t="inlineStr">
        <is>
          <t>CE-27 ESPINALILLO YBAR</t>
        </is>
      </c>
      <c r="F143" t="inlineStr">
        <is>
          <t>PIRA</t>
        </is>
      </c>
      <c r="G143" t="n">
        <v>720</v>
      </c>
      <c r="H143" t="n">
        <v>0</v>
      </c>
      <c r="I143" t="n">
        <v>10</v>
      </c>
      <c r="J143" t="n">
        <v>100</v>
      </c>
      <c r="K143" t="n">
        <v>0</v>
      </c>
      <c r="L143" t="n">
        <v>25.65</v>
      </c>
      <c r="M143" t="n">
        <v>0</v>
      </c>
      <c r="N143" t="n">
        <v>60</v>
      </c>
      <c r="O143" t="n">
        <v>100</v>
      </c>
      <c r="P143" t="n">
        <v>2.56</v>
      </c>
    </row>
    <row r="144">
      <c r="A144" t="n">
        <v>826214</v>
      </c>
      <c r="B144" t="inlineStr">
        <is>
          <t>04-05-2026</t>
        </is>
      </c>
      <c r="C144" t="inlineStr">
        <is>
          <t>S58</t>
        </is>
      </c>
      <c r="D144" t="inlineStr">
        <is>
          <t>SKIDDER</t>
        </is>
      </c>
      <c r="E144" t="inlineStr">
        <is>
          <t>COIHUECO Y OTROS (BB)</t>
        </is>
      </c>
      <c r="F144" t="inlineStr">
        <is>
          <t>PIRA</t>
        </is>
      </c>
      <c r="G144" t="n">
        <v>120</v>
      </c>
      <c r="H144" t="n">
        <v>0</v>
      </c>
      <c r="I144" t="n">
        <v>1</v>
      </c>
      <c r="J144" t="n">
        <v>12</v>
      </c>
      <c r="K144" t="n">
        <v>0</v>
      </c>
      <c r="L144" t="n">
        <v>26.8</v>
      </c>
      <c r="M144" t="n">
        <v>0</v>
      </c>
      <c r="N144" t="n">
        <v>60</v>
      </c>
      <c r="O144" t="n">
        <v>100</v>
      </c>
      <c r="P144" t="n">
        <v>26.8</v>
      </c>
    </row>
    <row r="145">
      <c r="A145" t="n">
        <v>826214</v>
      </c>
      <c r="B145" t="inlineStr">
        <is>
          <t>04-05-2026</t>
        </is>
      </c>
      <c r="C145" t="inlineStr">
        <is>
          <t>S58</t>
        </is>
      </c>
      <c r="D145" t="inlineStr">
        <is>
          <t>SKIDDER</t>
        </is>
      </c>
      <c r="E145" t="inlineStr">
        <is>
          <t>COIHUECO Y OTROS (BB)</t>
        </is>
      </c>
      <c r="F145" t="inlineStr">
        <is>
          <t>PIRA</t>
        </is>
      </c>
      <c r="G145" t="n">
        <v>120</v>
      </c>
      <c r="H145" t="n">
        <v>0</v>
      </c>
      <c r="I145" t="n">
        <v>1</v>
      </c>
      <c r="J145" t="n">
        <v>12</v>
      </c>
      <c r="K145" t="n">
        <v>0</v>
      </c>
      <c r="L145" t="n">
        <v>12.14</v>
      </c>
      <c r="M145" t="n">
        <v>0</v>
      </c>
      <c r="N145" t="n">
        <v>60</v>
      </c>
      <c r="O145" t="n">
        <v>100</v>
      </c>
      <c r="P145" t="n">
        <v>12.14</v>
      </c>
    </row>
    <row r="146">
      <c r="A146" t="n">
        <v>826234</v>
      </c>
      <c r="B146" t="inlineStr">
        <is>
          <t>04-05-2026</t>
        </is>
      </c>
      <c r="C146" t="inlineStr">
        <is>
          <t>TEA02</t>
        </is>
      </c>
      <c r="D146" t="inlineStr">
        <is>
          <t>FORWINCH</t>
        </is>
      </c>
      <c r="E146" t="inlineStr">
        <is>
          <t>COIHUECO Y OTROS (BB)</t>
        </is>
      </c>
      <c r="F146" t="inlineStr">
        <is>
          <t>PIRA</t>
        </is>
      </c>
      <c r="G146" t="n">
        <v>720</v>
      </c>
      <c r="H146" t="n">
        <v>0</v>
      </c>
      <c r="I146" t="n">
        <v>10.5</v>
      </c>
      <c r="J146" t="n">
        <v>33</v>
      </c>
      <c r="K146" t="n">
        <v>0</v>
      </c>
      <c r="L146" t="n">
        <v>9.890000000000001</v>
      </c>
      <c r="M146" t="n">
        <v>0</v>
      </c>
      <c r="N146" t="n">
        <v>30</v>
      </c>
      <c r="O146" t="n">
        <v>100</v>
      </c>
      <c r="P146" t="n">
        <v>0.9399999999999999</v>
      </c>
    </row>
    <row r="147">
      <c r="A147" t="n">
        <v>826234</v>
      </c>
      <c r="B147" t="inlineStr">
        <is>
          <t>04-05-2026</t>
        </is>
      </c>
      <c r="C147" t="inlineStr">
        <is>
          <t>TEA02</t>
        </is>
      </c>
      <c r="D147" t="inlineStr">
        <is>
          <t>FORWINCH</t>
        </is>
      </c>
      <c r="E147" t="inlineStr">
        <is>
          <t>COIHUECO Y OTROS (BB)</t>
        </is>
      </c>
      <c r="F147" t="inlineStr">
        <is>
          <t>PIRA</t>
        </is>
      </c>
      <c r="G147" t="n">
        <v>720</v>
      </c>
      <c r="H147" t="n">
        <v>0</v>
      </c>
      <c r="I147" t="n">
        <v>10.5</v>
      </c>
      <c r="J147" t="n">
        <v>33</v>
      </c>
      <c r="K147" t="n">
        <v>0</v>
      </c>
      <c r="L147" t="n">
        <v>27.18</v>
      </c>
      <c r="M147" t="n">
        <v>0</v>
      </c>
      <c r="N147" t="n">
        <v>30</v>
      </c>
      <c r="O147" t="n">
        <v>100</v>
      </c>
      <c r="P147" t="n">
        <v>2.59</v>
      </c>
    </row>
    <row r="148">
      <c r="A148" t="n">
        <v>826234</v>
      </c>
      <c r="B148" t="inlineStr">
        <is>
          <t>04-05-2026</t>
        </is>
      </c>
      <c r="C148" t="inlineStr">
        <is>
          <t>TEA02</t>
        </is>
      </c>
      <c r="D148" t="inlineStr">
        <is>
          <t>FORWINCH</t>
        </is>
      </c>
      <c r="E148" t="inlineStr">
        <is>
          <t>COIHUECO Y OTROS (BB)</t>
        </is>
      </c>
      <c r="F148" t="inlineStr">
        <is>
          <t>PIRA</t>
        </is>
      </c>
      <c r="G148" t="n">
        <v>720</v>
      </c>
      <c r="H148" t="n">
        <v>0</v>
      </c>
      <c r="I148" t="n">
        <v>10.5</v>
      </c>
      <c r="J148" t="n">
        <v>33</v>
      </c>
      <c r="K148" t="n">
        <v>0</v>
      </c>
      <c r="L148" t="n">
        <v>6.87</v>
      </c>
      <c r="M148" t="n">
        <v>0</v>
      </c>
      <c r="N148" t="n">
        <v>30</v>
      </c>
      <c r="O148" t="n">
        <v>100</v>
      </c>
      <c r="P148" t="n">
        <v>0.65</v>
      </c>
    </row>
    <row r="149">
      <c r="A149" t="n">
        <v>826234</v>
      </c>
      <c r="B149" t="inlineStr">
        <is>
          <t>04-05-2026</t>
        </is>
      </c>
      <c r="C149" t="inlineStr">
        <is>
          <t>TEA02</t>
        </is>
      </c>
      <c r="D149" t="inlineStr">
        <is>
          <t>FORWINCH</t>
        </is>
      </c>
      <c r="E149" t="inlineStr">
        <is>
          <t>COIHUECO Y OTROS (BB)</t>
        </is>
      </c>
      <c r="F149" t="inlineStr">
        <is>
          <t>PIRA</t>
        </is>
      </c>
      <c r="G149" t="n">
        <v>720</v>
      </c>
      <c r="H149" t="n">
        <v>0</v>
      </c>
      <c r="I149" t="n">
        <v>10.5</v>
      </c>
      <c r="J149" t="n">
        <v>33</v>
      </c>
      <c r="K149" t="n">
        <v>0</v>
      </c>
      <c r="L149" t="n">
        <v>39.04</v>
      </c>
      <c r="M149" t="n">
        <v>0</v>
      </c>
      <c r="N149" t="n">
        <v>30</v>
      </c>
      <c r="O149" t="n">
        <v>100</v>
      </c>
      <c r="P149" t="n">
        <v>3.72</v>
      </c>
    </row>
    <row r="150">
      <c r="A150" t="n">
        <v>826234</v>
      </c>
      <c r="B150" t="inlineStr">
        <is>
          <t>04-05-2026</t>
        </is>
      </c>
      <c r="C150" t="inlineStr">
        <is>
          <t>TEA02</t>
        </is>
      </c>
      <c r="D150" t="inlineStr">
        <is>
          <t>FORWINCH</t>
        </is>
      </c>
      <c r="E150" t="inlineStr">
        <is>
          <t>COIHUECO Y OTROS (BB)</t>
        </is>
      </c>
      <c r="F150" t="inlineStr">
        <is>
          <t>PIRA</t>
        </is>
      </c>
      <c r="G150" t="n">
        <v>720</v>
      </c>
      <c r="H150" t="n">
        <v>0</v>
      </c>
      <c r="I150" t="n">
        <v>10.5</v>
      </c>
      <c r="J150" t="n">
        <v>33</v>
      </c>
      <c r="K150" t="n">
        <v>0</v>
      </c>
      <c r="L150" t="n">
        <v>2.27</v>
      </c>
      <c r="M150" t="n">
        <v>0</v>
      </c>
      <c r="N150" t="n">
        <v>30</v>
      </c>
      <c r="O150" t="n">
        <v>100</v>
      </c>
      <c r="P150" t="n">
        <v>0.22</v>
      </c>
    </row>
    <row r="151">
      <c r="A151" t="n">
        <v>826234</v>
      </c>
      <c r="B151" t="inlineStr">
        <is>
          <t>04-05-2026</t>
        </is>
      </c>
      <c r="C151" t="inlineStr">
        <is>
          <t>TEA02</t>
        </is>
      </c>
      <c r="D151" t="inlineStr">
        <is>
          <t>FORWINCH</t>
        </is>
      </c>
      <c r="E151" t="inlineStr">
        <is>
          <t>COIHUECO Y OTROS (BB)</t>
        </is>
      </c>
      <c r="F151" t="inlineStr">
        <is>
          <t>PIRA</t>
        </is>
      </c>
      <c r="G151" t="n">
        <v>720</v>
      </c>
      <c r="H151" t="n">
        <v>0</v>
      </c>
      <c r="I151" t="n">
        <v>10.5</v>
      </c>
      <c r="J151" t="n">
        <v>33</v>
      </c>
      <c r="K151" t="n">
        <v>0</v>
      </c>
      <c r="L151" t="n">
        <v>37.94</v>
      </c>
      <c r="M151" t="n">
        <v>0</v>
      </c>
      <c r="N151" t="n">
        <v>30</v>
      </c>
      <c r="O151" t="n">
        <v>100</v>
      </c>
      <c r="P151" t="n">
        <v>3.61</v>
      </c>
    </row>
    <row r="152">
      <c r="A152" t="n">
        <v>826317</v>
      </c>
      <c r="B152" t="inlineStr">
        <is>
          <t>05-05-2026</t>
        </is>
      </c>
      <c r="C152" t="inlineStr">
        <is>
          <t>TEA08</t>
        </is>
      </c>
      <c r="D152" t="inlineStr">
        <is>
          <t>FORWINCH</t>
        </is>
      </c>
      <c r="E152" t="inlineStr">
        <is>
          <t>COIHUECO Y OTROS (BB)</t>
        </is>
      </c>
      <c r="F152" t="inlineStr">
        <is>
          <t>PIRA</t>
        </is>
      </c>
      <c r="G152" t="n">
        <v>720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660</v>
      </c>
      <c r="N152" t="n">
        <v>660</v>
      </c>
      <c r="O152" t="n">
        <v>98.5</v>
      </c>
      <c r="P152" t="n">
        <v>0</v>
      </c>
    </row>
    <row r="153">
      <c r="A153" t="n">
        <v>826317</v>
      </c>
      <c r="B153" t="inlineStr">
        <is>
          <t>05-05-2026</t>
        </is>
      </c>
      <c r="C153" t="inlineStr">
        <is>
          <t>TEA08</t>
        </is>
      </c>
      <c r="D153" t="inlineStr">
        <is>
          <t>FORWINCH</t>
        </is>
      </c>
      <c r="E153" t="inlineStr">
        <is>
          <t>COIHUECO Y OTROS (BB)</t>
        </is>
      </c>
      <c r="F153" t="inlineStr">
        <is>
          <t>PIRA</t>
        </is>
      </c>
      <c r="G153" t="n">
        <v>720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660</v>
      </c>
      <c r="N153" t="n">
        <v>660</v>
      </c>
      <c r="O153" t="n">
        <v>98.5</v>
      </c>
      <c r="P153" t="n">
        <v>0</v>
      </c>
    </row>
    <row r="154">
      <c r="A154" t="n">
        <v>826317</v>
      </c>
      <c r="B154" t="inlineStr">
        <is>
          <t>05-05-2026</t>
        </is>
      </c>
      <c r="C154" t="inlineStr">
        <is>
          <t>TEA08</t>
        </is>
      </c>
      <c r="D154" t="inlineStr">
        <is>
          <t>FORWINCH</t>
        </is>
      </c>
      <c r="E154" t="inlineStr">
        <is>
          <t>COIHUECO Y OTROS (BB)</t>
        </is>
      </c>
      <c r="F154" t="inlineStr">
        <is>
          <t>PIRA</t>
        </is>
      </c>
      <c r="G154" t="n">
        <v>720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660</v>
      </c>
      <c r="N154" t="n">
        <v>660</v>
      </c>
      <c r="O154" t="n">
        <v>98.5</v>
      </c>
      <c r="P154" t="n">
        <v>0</v>
      </c>
    </row>
    <row r="155">
      <c r="A155" t="n">
        <v>826317</v>
      </c>
      <c r="B155" t="inlineStr">
        <is>
          <t>05-05-2026</t>
        </is>
      </c>
      <c r="C155" t="inlineStr">
        <is>
          <t>TEA08</t>
        </is>
      </c>
      <c r="D155" t="inlineStr">
        <is>
          <t>FORWINCH</t>
        </is>
      </c>
      <c r="E155" t="inlineStr">
        <is>
          <t>COIHUECO Y OTROS (BB)</t>
        </is>
      </c>
      <c r="F155" t="inlineStr">
        <is>
          <t>PIRA</t>
        </is>
      </c>
      <c r="G155" t="n">
        <v>720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660</v>
      </c>
      <c r="N155" t="n">
        <v>660</v>
      </c>
      <c r="O155" t="n">
        <v>98.5</v>
      </c>
      <c r="P155" t="n">
        <v>0</v>
      </c>
    </row>
    <row r="156">
      <c r="A156" t="n">
        <v>826317</v>
      </c>
      <c r="B156" t="inlineStr">
        <is>
          <t>05-05-2026</t>
        </is>
      </c>
      <c r="C156" t="inlineStr">
        <is>
          <t>TEA08</t>
        </is>
      </c>
      <c r="D156" t="inlineStr">
        <is>
          <t>FORWINCH</t>
        </is>
      </c>
      <c r="E156" t="inlineStr">
        <is>
          <t>COIHUECO Y OTROS (BB)</t>
        </is>
      </c>
      <c r="F156" t="inlineStr">
        <is>
          <t>PIRA</t>
        </is>
      </c>
      <c r="G156" t="n">
        <v>720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660</v>
      </c>
      <c r="N156" t="n">
        <v>660</v>
      </c>
      <c r="O156" t="n">
        <v>98.5</v>
      </c>
      <c r="P156" t="n">
        <v>0</v>
      </c>
    </row>
    <row r="157">
      <c r="A157" t="n">
        <v>826317</v>
      </c>
      <c r="B157" t="inlineStr">
        <is>
          <t>05-05-2026</t>
        </is>
      </c>
      <c r="C157" t="inlineStr">
        <is>
          <t>TEA08</t>
        </is>
      </c>
      <c r="D157" t="inlineStr">
        <is>
          <t>FORWINCH</t>
        </is>
      </c>
      <c r="E157" t="inlineStr">
        <is>
          <t>COIHUECO Y OTROS (BB)</t>
        </is>
      </c>
      <c r="F157" t="inlineStr">
        <is>
          <t>PIRA</t>
        </is>
      </c>
      <c r="G157" t="n">
        <v>720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660</v>
      </c>
      <c r="N157" t="n">
        <v>660</v>
      </c>
      <c r="O157" t="n">
        <v>98.5</v>
      </c>
      <c r="P157" t="n">
        <v>0</v>
      </c>
    </row>
    <row r="158">
      <c r="A158" t="n">
        <v>826320</v>
      </c>
      <c r="B158" t="inlineStr">
        <is>
          <t>05-05-2026</t>
        </is>
      </c>
      <c r="C158" t="inlineStr">
        <is>
          <t>T125</t>
        </is>
      </c>
      <c r="D158" t="inlineStr">
        <is>
          <t>TORRE500</t>
        </is>
      </c>
      <c r="E158" t="inlineStr">
        <is>
          <t>POLHUIN</t>
        </is>
      </c>
      <c r="F158" t="inlineStr">
        <is>
          <t>EUGL</t>
        </is>
      </c>
      <c r="G158" t="n">
        <v>720</v>
      </c>
      <c r="H158" t="n">
        <v>0</v>
      </c>
      <c r="I158" t="n">
        <v>11</v>
      </c>
      <c r="J158" t="n">
        <v>141</v>
      </c>
      <c r="K158" t="n">
        <v>0</v>
      </c>
      <c r="L158" t="n">
        <v>217.2</v>
      </c>
      <c r="M158" t="n">
        <v>0</v>
      </c>
      <c r="N158" t="n">
        <v>0</v>
      </c>
      <c r="O158" t="n">
        <v>100</v>
      </c>
      <c r="P158" t="n">
        <v>19.75</v>
      </c>
    </row>
    <row r="159">
      <c r="A159" t="n">
        <v>826331</v>
      </c>
      <c r="B159" t="inlineStr">
        <is>
          <t>05-05-2026</t>
        </is>
      </c>
      <c r="C159" t="inlineStr">
        <is>
          <t>MG5</t>
        </is>
      </c>
      <c r="D159" t="inlineStr">
        <is>
          <t>GRAPPLE</t>
        </is>
      </c>
      <c r="E159" t="inlineStr">
        <is>
          <t>CE-27 ESPINALILLO YBAR</t>
        </is>
      </c>
      <c r="F159" t="inlineStr">
        <is>
          <t>PIRA</t>
        </is>
      </c>
      <c r="G159" t="n">
        <v>720</v>
      </c>
      <c r="H159" t="n">
        <v>0</v>
      </c>
      <c r="I159" t="n">
        <v>11</v>
      </c>
      <c r="J159" t="n">
        <v>110</v>
      </c>
      <c r="K159" t="n">
        <v>0</v>
      </c>
      <c r="L159" t="n">
        <v>31.92</v>
      </c>
      <c r="M159" t="n">
        <v>0</v>
      </c>
      <c r="N159" t="n">
        <v>0</v>
      </c>
      <c r="O159" t="n">
        <v>100</v>
      </c>
      <c r="P159" t="n">
        <v>2.9</v>
      </c>
    </row>
    <row r="160">
      <c r="A160" t="n">
        <v>826331</v>
      </c>
      <c r="B160" t="inlineStr">
        <is>
          <t>05-05-2026</t>
        </is>
      </c>
      <c r="C160" t="inlineStr">
        <is>
          <t>MG5</t>
        </is>
      </c>
      <c r="D160" t="inlineStr">
        <is>
          <t>GRAPPLE</t>
        </is>
      </c>
      <c r="E160" t="inlineStr">
        <is>
          <t>CE-27 ESPINALILLO YBAR</t>
        </is>
      </c>
      <c r="F160" t="inlineStr">
        <is>
          <t>PIRA</t>
        </is>
      </c>
      <c r="G160" t="n">
        <v>720</v>
      </c>
      <c r="H160" t="n">
        <v>0</v>
      </c>
      <c r="I160" t="n">
        <v>11</v>
      </c>
      <c r="J160" t="n">
        <v>110</v>
      </c>
      <c r="K160" t="n">
        <v>0</v>
      </c>
      <c r="L160" t="n">
        <v>98.5</v>
      </c>
      <c r="M160" t="n">
        <v>0</v>
      </c>
      <c r="N160" t="n">
        <v>0</v>
      </c>
      <c r="O160" t="n">
        <v>100</v>
      </c>
      <c r="P160" t="n">
        <v>8.960000000000001</v>
      </c>
    </row>
    <row r="161">
      <c r="A161" t="n">
        <v>826331</v>
      </c>
      <c r="B161" t="inlineStr">
        <is>
          <t>05-05-2026</t>
        </is>
      </c>
      <c r="C161" t="inlineStr">
        <is>
          <t>MG5</t>
        </is>
      </c>
      <c r="D161" t="inlineStr">
        <is>
          <t>GRAPPLE</t>
        </is>
      </c>
      <c r="E161" t="inlineStr">
        <is>
          <t>CE-27 ESPINALILLO YBAR</t>
        </is>
      </c>
      <c r="F161" t="inlineStr">
        <is>
          <t>PIRA</t>
        </is>
      </c>
      <c r="G161" t="n">
        <v>720</v>
      </c>
      <c r="H161" t="n">
        <v>0</v>
      </c>
      <c r="I161" t="n">
        <v>11</v>
      </c>
      <c r="J161" t="n">
        <v>110</v>
      </c>
      <c r="K161" t="n">
        <v>0</v>
      </c>
      <c r="L161" t="n">
        <v>83.03</v>
      </c>
      <c r="M161" t="n">
        <v>0</v>
      </c>
      <c r="N161" t="n">
        <v>0</v>
      </c>
      <c r="O161" t="n">
        <v>100</v>
      </c>
      <c r="P161" t="n">
        <v>7.55</v>
      </c>
    </row>
    <row r="162">
      <c r="A162" t="n">
        <v>826333</v>
      </c>
      <c r="B162" t="inlineStr">
        <is>
          <t>05-05-2026</t>
        </is>
      </c>
      <c r="C162" t="inlineStr">
        <is>
          <t>S246</t>
        </is>
      </c>
      <c r="D162" t="inlineStr">
        <is>
          <t>SKIDDER</t>
        </is>
      </c>
      <c r="E162" t="inlineStr">
        <is>
          <t>COIHUECO Y OTROS (BB)</t>
        </is>
      </c>
      <c r="F162" t="inlineStr">
        <is>
          <t>PIRA</t>
        </is>
      </c>
      <c r="G162" t="n">
        <v>720</v>
      </c>
      <c r="H162" t="n">
        <v>0</v>
      </c>
      <c r="I162" t="n">
        <v>10.5</v>
      </c>
      <c r="J162" t="n">
        <v>56</v>
      </c>
      <c r="K162" t="n">
        <v>0</v>
      </c>
      <c r="L162" t="n">
        <v>8.039999999999999</v>
      </c>
      <c r="M162" t="n">
        <v>30</v>
      </c>
      <c r="N162" t="n">
        <v>30</v>
      </c>
      <c r="O162" t="n">
        <v>99.90000000000001</v>
      </c>
      <c r="P162" t="n">
        <v>0.77</v>
      </c>
    </row>
    <row r="163">
      <c r="A163" t="n">
        <v>826333</v>
      </c>
      <c r="B163" t="inlineStr">
        <is>
          <t>05-05-2026</t>
        </is>
      </c>
      <c r="C163" t="inlineStr">
        <is>
          <t>S246</t>
        </is>
      </c>
      <c r="D163" t="inlineStr">
        <is>
          <t>SKIDDER</t>
        </is>
      </c>
      <c r="E163" t="inlineStr">
        <is>
          <t>COIHUECO Y OTROS (BB)</t>
        </is>
      </c>
      <c r="F163" t="inlineStr">
        <is>
          <t>PIRA</t>
        </is>
      </c>
      <c r="G163" t="n">
        <v>720</v>
      </c>
      <c r="H163" t="n">
        <v>0</v>
      </c>
      <c r="I163" t="n">
        <v>10.5</v>
      </c>
      <c r="J163" t="n">
        <v>56</v>
      </c>
      <c r="K163" t="n">
        <v>0</v>
      </c>
      <c r="L163" t="n">
        <v>40.24</v>
      </c>
      <c r="M163" t="n">
        <v>30</v>
      </c>
      <c r="N163" t="n">
        <v>30</v>
      </c>
      <c r="O163" t="n">
        <v>99.90000000000001</v>
      </c>
      <c r="P163" t="n">
        <v>3.83</v>
      </c>
    </row>
    <row r="164">
      <c r="A164" t="n">
        <v>826333</v>
      </c>
      <c r="B164" t="inlineStr">
        <is>
          <t>05-05-2026</t>
        </is>
      </c>
      <c r="C164" t="inlineStr">
        <is>
          <t>S246</t>
        </is>
      </c>
      <c r="D164" t="inlineStr">
        <is>
          <t>SKIDDER</t>
        </is>
      </c>
      <c r="E164" t="inlineStr">
        <is>
          <t>COIHUECO Y OTROS (BB)</t>
        </is>
      </c>
      <c r="F164" t="inlineStr">
        <is>
          <t>PIRA</t>
        </is>
      </c>
      <c r="G164" t="n">
        <v>720</v>
      </c>
      <c r="H164" t="n">
        <v>0</v>
      </c>
      <c r="I164" t="n">
        <v>10.5</v>
      </c>
      <c r="J164" t="n">
        <v>56</v>
      </c>
      <c r="K164" t="n">
        <v>0</v>
      </c>
      <c r="L164" t="n">
        <v>58.14</v>
      </c>
      <c r="M164" t="n">
        <v>30</v>
      </c>
      <c r="N164" t="n">
        <v>30</v>
      </c>
      <c r="O164" t="n">
        <v>99.90000000000001</v>
      </c>
      <c r="P164" t="n">
        <v>5.54</v>
      </c>
    </row>
    <row r="165">
      <c r="A165" t="n">
        <v>826333</v>
      </c>
      <c r="B165" t="inlineStr">
        <is>
          <t>05-05-2026</t>
        </is>
      </c>
      <c r="C165" t="inlineStr">
        <is>
          <t>S246</t>
        </is>
      </c>
      <c r="D165" t="inlineStr">
        <is>
          <t>SKIDDER</t>
        </is>
      </c>
      <c r="E165" t="inlineStr">
        <is>
          <t>COIHUECO Y OTROS (BB)</t>
        </is>
      </c>
      <c r="F165" t="inlineStr">
        <is>
          <t>PIRA</t>
        </is>
      </c>
      <c r="G165" t="n">
        <v>720</v>
      </c>
      <c r="H165" t="n">
        <v>0</v>
      </c>
      <c r="I165" t="n">
        <v>10.5</v>
      </c>
      <c r="J165" t="n">
        <v>56</v>
      </c>
      <c r="K165" t="n">
        <v>0</v>
      </c>
      <c r="L165" t="n">
        <v>3.41</v>
      </c>
      <c r="M165" t="n">
        <v>30</v>
      </c>
      <c r="N165" t="n">
        <v>30</v>
      </c>
      <c r="O165" t="n">
        <v>99.90000000000001</v>
      </c>
      <c r="P165" t="n">
        <v>0.32</v>
      </c>
    </row>
    <row r="166">
      <c r="A166" t="n">
        <v>826333</v>
      </c>
      <c r="B166" t="inlineStr">
        <is>
          <t>05-05-2026</t>
        </is>
      </c>
      <c r="C166" t="inlineStr">
        <is>
          <t>S246</t>
        </is>
      </c>
      <c r="D166" t="inlineStr">
        <is>
          <t>SKIDDER</t>
        </is>
      </c>
      <c r="E166" t="inlineStr">
        <is>
          <t>COIHUECO Y OTROS (BB)</t>
        </is>
      </c>
      <c r="F166" t="inlineStr">
        <is>
          <t>PIRA</t>
        </is>
      </c>
      <c r="G166" t="n">
        <v>720</v>
      </c>
      <c r="H166" t="n">
        <v>0</v>
      </c>
      <c r="I166" t="n">
        <v>10.5</v>
      </c>
      <c r="J166" t="n">
        <v>56</v>
      </c>
      <c r="K166" t="n">
        <v>0</v>
      </c>
      <c r="L166" t="n">
        <v>13.68</v>
      </c>
      <c r="M166" t="n">
        <v>30</v>
      </c>
      <c r="N166" t="n">
        <v>30</v>
      </c>
      <c r="O166" t="n">
        <v>99.90000000000001</v>
      </c>
      <c r="P166" t="n">
        <v>1.3</v>
      </c>
    </row>
    <row r="167">
      <c r="A167" t="n">
        <v>826333</v>
      </c>
      <c r="B167" t="inlineStr">
        <is>
          <t>05-05-2026</t>
        </is>
      </c>
      <c r="C167" t="inlineStr">
        <is>
          <t>S246</t>
        </is>
      </c>
      <c r="D167" t="inlineStr">
        <is>
          <t>SKIDDER</t>
        </is>
      </c>
      <c r="E167" t="inlineStr">
        <is>
          <t>COIHUECO Y OTROS (BB)</t>
        </is>
      </c>
      <c r="F167" t="inlineStr">
        <is>
          <t>PIRA</t>
        </is>
      </c>
      <c r="G167" t="n">
        <v>720</v>
      </c>
      <c r="H167" t="n">
        <v>0</v>
      </c>
      <c r="I167" t="n">
        <v>10.5</v>
      </c>
      <c r="J167" t="n">
        <v>56</v>
      </c>
      <c r="K167" t="n">
        <v>0</v>
      </c>
      <c r="L167" t="n">
        <v>20.6</v>
      </c>
      <c r="M167" t="n">
        <v>30</v>
      </c>
      <c r="N167" t="n">
        <v>30</v>
      </c>
      <c r="O167" t="n">
        <v>99.90000000000001</v>
      </c>
      <c r="P167" t="n">
        <v>1.96</v>
      </c>
    </row>
    <row r="168">
      <c r="A168" t="n">
        <v>826333</v>
      </c>
      <c r="B168" t="inlineStr">
        <is>
          <t>05-05-2026</t>
        </is>
      </c>
      <c r="C168" t="inlineStr">
        <is>
          <t>S246</t>
        </is>
      </c>
      <c r="D168" t="inlineStr">
        <is>
          <t>SKIDDER</t>
        </is>
      </c>
      <c r="E168" t="inlineStr">
        <is>
          <t>COIHUECO Y OTROS (BB)</t>
        </is>
      </c>
      <c r="F168" t="inlineStr">
        <is>
          <t>PIRA</t>
        </is>
      </c>
      <c r="G168" t="n">
        <v>720</v>
      </c>
      <c r="H168" t="n">
        <v>0</v>
      </c>
      <c r="I168" t="n">
        <v>10.5</v>
      </c>
      <c r="J168" t="n">
        <v>56</v>
      </c>
      <c r="K168" t="n">
        <v>0</v>
      </c>
      <c r="L168" t="n">
        <v>109.44</v>
      </c>
      <c r="M168" t="n">
        <v>30</v>
      </c>
      <c r="N168" t="n">
        <v>30</v>
      </c>
      <c r="O168" t="n">
        <v>99.90000000000001</v>
      </c>
      <c r="P168" t="n">
        <v>10.42</v>
      </c>
    </row>
    <row r="169">
      <c r="A169" t="n">
        <v>826333</v>
      </c>
      <c r="B169" t="inlineStr">
        <is>
          <t>05-05-2026</t>
        </is>
      </c>
      <c r="C169" t="inlineStr">
        <is>
          <t>S246</t>
        </is>
      </c>
      <c r="D169" t="inlineStr">
        <is>
          <t>SKIDDER</t>
        </is>
      </c>
      <c r="E169" t="inlineStr">
        <is>
          <t>COIHUECO Y OTROS (BB)</t>
        </is>
      </c>
      <c r="F169" t="inlineStr">
        <is>
          <t>PIRA</t>
        </is>
      </c>
      <c r="G169" t="n">
        <v>720</v>
      </c>
      <c r="H169" t="n">
        <v>0</v>
      </c>
      <c r="I169" t="n">
        <v>10.5</v>
      </c>
      <c r="J169" t="n">
        <v>56</v>
      </c>
      <c r="K169" t="n">
        <v>0</v>
      </c>
      <c r="L169" t="n">
        <v>75.23999999999999</v>
      </c>
      <c r="M169" t="n">
        <v>30</v>
      </c>
      <c r="N169" t="n">
        <v>30</v>
      </c>
      <c r="O169" t="n">
        <v>99.90000000000001</v>
      </c>
      <c r="P169" t="n">
        <v>7.17</v>
      </c>
    </row>
    <row r="170">
      <c r="A170" t="n">
        <v>826333</v>
      </c>
      <c r="B170" t="inlineStr">
        <is>
          <t>05-05-2026</t>
        </is>
      </c>
      <c r="C170" t="inlineStr">
        <is>
          <t>S246</t>
        </is>
      </c>
      <c r="D170" t="inlineStr">
        <is>
          <t>SKIDDER</t>
        </is>
      </c>
      <c r="E170" t="inlineStr">
        <is>
          <t>COIHUECO Y OTROS (BB)</t>
        </is>
      </c>
      <c r="F170" t="inlineStr">
        <is>
          <t>PIRA</t>
        </is>
      </c>
      <c r="G170" t="n">
        <v>720</v>
      </c>
      <c r="H170" t="n">
        <v>0</v>
      </c>
      <c r="I170" t="n">
        <v>10.5</v>
      </c>
      <c r="J170" t="n">
        <v>56</v>
      </c>
      <c r="K170" t="n">
        <v>0</v>
      </c>
      <c r="L170" t="n">
        <v>15.68</v>
      </c>
      <c r="M170" t="n">
        <v>30</v>
      </c>
      <c r="N170" t="n">
        <v>30</v>
      </c>
      <c r="O170" t="n">
        <v>99.90000000000001</v>
      </c>
      <c r="P170" t="n">
        <v>1.49</v>
      </c>
    </row>
    <row r="171">
      <c r="A171" t="n">
        <v>826333</v>
      </c>
      <c r="B171" t="inlineStr">
        <is>
          <t>05-05-2026</t>
        </is>
      </c>
      <c r="C171" t="inlineStr">
        <is>
          <t>S246</t>
        </is>
      </c>
      <c r="D171" t="inlineStr">
        <is>
          <t>SKIDDER</t>
        </is>
      </c>
      <c r="E171" t="inlineStr">
        <is>
          <t>COIHUECO Y OTROS (BB)</t>
        </is>
      </c>
      <c r="F171" t="inlineStr">
        <is>
          <t>PIRA</t>
        </is>
      </c>
      <c r="G171" t="n">
        <v>720</v>
      </c>
      <c r="H171" t="n">
        <v>0</v>
      </c>
      <c r="I171" t="n">
        <v>10.5</v>
      </c>
      <c r="J171" t="n">
        <v>56</v>
      </c>
      <c r="K171" t="n">
        <v>0</v>
      </c>
      <c r="L171" t="n">
        <v>11.38</v>
      </c>
      <c r="M171" t="n">
        <v>30</v>
      </c>
      <c r="N171" t="n">
        <v>30</v>
      </c>
      <c r="O171" t="n">
        <v>99.90000000000001</v>
      </c>
      <c r="P171" t="n">
        <v>1.08</v>
      </c>
    </row>
    <row r="172">
      <c r="A172" t="n">
        <v>826335</v>
      </c>
      <c r="B172" t="inlineStr">
        <is>
          <t>05-05-2026</t>
        </is>
      </c>
      <c r="C172" t="inlineStr">
        <is>
          <t>S223</t>
        </is>
      </c>
      <c r="D172" t="inlineStr">
        <is>
          <t>SKIDDER</t>
        </is>
      </c>
      <c r="E172" t="inlineStr">
        <is>
          <t>LAS ULLOAS (BB)</t>
        </is>
      </c>
      <c r="F172" t="inlineStr">
        <is>
          <t>PIRA</t>
        </is>
      </c>
      <c r="G172" t="n">
        <v>720</v>
      </c>
      <c r="H172" t="n">
        <v>0</v>
      </c>
      <c r="I172" t="n">
        <v>9</v>
      </c>
      <c r="J172" t="n">
        <v>27</v>
      </c>
      <c r="K172" t="n">
        <v>0</v>
      </c>
      <c r="L172" t="n">
        <v>19.78</v>
      </c>
      <c r="M172" t="n">
        <v>0</v>
      </c>
      <c r="N172" t="n">
        <v>120</v>
      </c>
      <c r="O172" t="n">
        <v>100</v>
      </c>
      <c r="P172" t="n">
        <v>2.2</v>
      </c>
    </row>
    <row r="173">
      <c r="A173" t="n">
        <v>826335</v>
      </c>
      <c r="B173" t="inlineStr">
        <is>
          <t>05-05-2026</t>
        </is>
      </c>
      <c r="C173" t="inlineStr">
        <is>
          <t>S223</t>
        </is>
      </c>
      <c r="D173" t="inlineStr">
        <is>
          <t>SKIDDER</t>
        </is>
      </c>
      <c r="E173" t="inlineStr">
        <is>
          <t>LAS ULLOAS (BB)</t>
        </is>
      </c>
      <c r="F173" t="inlineStr">
        <is>
          <t>PIRA</t>
        </is>
      </c>
      <c r="G173" t="n">
        <v>720</v>
      </c>
      <c r="H173" t="n">
        <v>0</v>
      </c>
      <c r="I173" t="n">
        <v>9</v>
      </c>
      <c r="J173" t="n">
        <v>27</v>
      </c>
      <c r="K173" t="n">
        <v>0</v>
      </c>
      <c r="L173" t="n">
        <v>18.56</v>
      </c>
      <c r="M173" t="n">
        <v>0</v>
      </c>
      <c r="N173" t="n">
        <v>120</v>
      </c>
      <c r="O173" t="n">
        <v>100</v>
      </c>
      <c r="P173" t="n">
        <v>2.06</v>
      </c>
    </row>
    <row r="174">
      <c r="A174" t="n">
        <v>826335</v>
      </c>
      <c r="B174" t="inlineStr">
        <is>
          <t>05-05-2026</t>
        </is>
      </c>
      <c r="C174" t="inlineStr">
        <is>
          <t>S223</t>
        </is>
      </c>
      <c r="D174" t="inlineStr">
        <is>
          <t>SKIDDER</t>
        </is>
      </c>
      <c r="E174" t="inlineStr">
        <is>
          <t>LAS ULLOAS (BB)</t>
        </is>
      </c>
      <c r="F174" t="inlineStr">
        <is>
          <t>PIRA</t>
        </is>
      </c>
      <c r="G174" t="n">
        <v>720</v>
      </c>
      <c r="H174" t="n">
        <v>0</v>
      </c>
      <c r="I174" t="n">
        <v>9</v>
      </c>
      <c r="J174" t="n">
        <v>27</v>
      </c>
      <c r="K174" t="n">
        <v>0</v>
      </c>
      <c r="L174" t="n">
        <v>35.83</v>
      </c>
      <c r="M174" t="n">
        <v>0</v>
      </c>
      <c r="N174" t="n">
        <v>120</v>
      </c>
      <c r="O174" t="n">
        <v>100</v>
      </c>
      <c r="P174" t="n">
        <v>3.98</v>
      </c>
    </row>
    <row r="175">
      <c r="A175" t="n">
        <v>826335</v>
      </c>
      <c r="B175" t="inlineStr">
        <is>
          <t>05-05-2026</t>
        </is>
      </c>
      <c r="C175" t="inlineStr">
        <is>
          <t>S223</t>
        </is>
      </c>
      <c r="D175" t="inlineStr">
        <is>
          <t>SKIDDER</t>
        </is>
      </c>
      <c r="E175" t="inlineStr">
        <is>
          <t>LAS ULLOAS (BB)</t>
        </is>
      </c>
      <c r="F175" t="inlineStr">
        <is>
          <t>PIRA</t>
        </is>
      </c>
      <c r="G175" t="n">
        <v>720</v>
      </c>
      <c r="H175" t="n">
        <v>0</v>
      </c>
      <c r="I175" t="n">
        <v>9</v>
      </c>
      <c r="J175" t="n">
        <v>27</v>
      </c>
      <c r="K175" t="n">
        <v>0</v>
      </c>
      <c r="L175" t="n">
        <v>86.97</v>
      </c>
      <c r="M175" t="n">
        <v>0</v>
      </c>
      <c r="N175" t="n">
        <v>120</v>
      </c>
      <c r="O175" t="n">
        <v>100</v>
      </c>
      <c r="P175" t="n">
        <v>9.66</v>
      </c>
    </row>
    <row r="176">
      <c r="A176" t="n">
        <v>826340</v>
      </c>
      <c r="B176" t="inlineStr">
        <is>
          <t>05-05-2026</t>
        </is>
      </c>
      <c r="C176" t="inlineStr">
        <is>
          <t>S123</t>
        </is>
      </c>
      <c r="D176" t="inlineStr">
        <is>
          <t>SKIDDER</t>
        </is>
      </c>
      <c r="E176" t="inlineStr">
        <is>
          <t>EL CABRITO CBB</t>
        </is>
      </c>
      <c r="F176" t="inlineStr">
        <is>
          <t>PIRA</t>
        </is>
      </c>
      <c r="G176" t="n">
        <v>540</v>
      </c>
      <c r="H176" t="n">
        <v>0</v>
      </c>
      <c r="I176" t="n">
        <v>5.5</v>
      </c>
      <c r="J176" t="n">
        <v>44</v>
      </c>
      <c r="K176" t="n">
        <v>0</v>
      </c>
      <c r="L176" t="n">
        <v>0</v>
      </c>
      <c r="M176" t="n">
        <v>0</v>
      </c>
      <c r="N176" t="n">
        <v>180</v>
      </c>
      <c r="O176" t="n">
        <v>100</v>
      </c>
      <c r="P176" t="n">
        <v>0</v>
      </c>
    </row>
    <row r="177">
      <c r="A177" t="n">
        <v>826340</v>
      </c>
      <c r="B177" t="inlineStr">
        <is>
          <t>05-05-2026</t>
        </is>
      </c>
      <c r="C177" t="inlineStr">
        <is>
          <t>S123</t>
        </is>
      </c>
      <c r="D177" t="inlineStr">
        <is>
          <t>SKIDDER</t>
        </is>
      </c>
      <c r="E177" t="inlineStr">
        <is>
          <t>EL CABRITO CBB</t>
        </is>
      </c>
      <c r="F177" t="inlineStr">
        <is>
          <t>PIRA</t>
        </is>
      </c>
      <c r="G177" t="n">
        <v>540</v>
      </c>
      <c r="H177" t="n">
        <v>0</v>
      </c>
      <c r="I177" t="n">
        <v>5.5</v>
      </c>
      <c r="J177" t="n">
        <v>44</v>
      </c>
      <c r="K177" t="n">
        <v>0</v>
      </c>
      <c r="L177" t="n">
        <v>0</v>
      </c>
      <c r="M177" t="n">
        <v>0</v>
      </c>
      <c r="N177" t="n">
        <v>180</v>
      </c>
      <c r="O177" t="n">
        <v>100</v>
      </c>
      <c r="P177" t="n">
        <v>0</v>
      </c>
    </row>
    <row r="178">
      <c r="A178" t="n">
        <v>826340</v>
      </c>
      <c r="B178" t="inlineStr">
        <is>
          <t>05-05-2026</t>
        </is>
      </c>
      <c r="C178" t="inlineStr">
        <is>
          <t>S123</t>
        </is>
      </c>
      <c r="D178" t="inlineStr">
        <is>
          <t>SKIDDER</t>
        </is>
      </c>
      <c r="E178" t="inlineStr">
        <is>
          <t>EL CABRITO CBB</t>
        </is>
      </c>
      <c r="F178" t="inlineStr">
        <is>
          <t>PIRA</t>
        </is>
      </c>
      <c r="G178" t="n">
        <v>540</v>
      </c>
      <c r="H178" t="n">
        <v>0</v>
      </c>
      <c r="I178" t="n">
        <v>5.5</v>
      </c>
      <c r="J178" t="n">
        <v>44</v>
      </c>
      <c r="K178" t="n">
        <v>0</v>
      </c>
      <c r="L178" t="n">
        <v>18.52</v>
      </c>
      <c r="M178" t="n">
        <v>0</v>
      </c>
      <c r="N178" t="n">
        <v>180</v>
      </c>
      <c r="O178" t="n">
        <v>100</v>
      </c>
      <c r="P178" t="n">
        <v>3.37</v>
      </c>
    </row>
    <row r="179">
      <c r="A179" t="n">
        <v>826340</v>
      </c>
      <c r="B179" t="inlineStr">
        <is>
          <t>05-05-2026</t>
        </is>
      </c>
      <c r="C179" t="inlineStr">
        <is>
          <t>S123</t>
        </is>
      </c>
      <c r="D179" t="inlineStr">
        <is>
          <t>SKIDDER</t>
        </is>
      </c>
      <c r="E179" t="inlineStr">
        <is>
          <t>EL CABRITO CBB</t>
        </is>
      </c>
      <c r="F179" t="inlineStr">
        <is>
          <t>PIRA</t>
        </is>
      </c>
      <c r="G179" t="n">
        <v>540</v>
      </c>
      <c r="H179" t="n">
        <v>0</v>
      </c>
      <c r="I179" t="n">
        <v>5.5</v>
      </c>
      <c r="J179" t="n">
        <v>44</v>
      </c>
      <c r="K179" t="n">
        <v>0</v>
      </c>
      <c r="L179" t="n">
        <v>51.3</v>
      </c>
      <c r="M179" t="n">
        <v>0</v>
      </c>
      <c r="N179" t="n">
        <v>180</v>
      </c>
      <c r="O179" t="n">
        <v>100</v>
      </c>
      <c r="P179" t="n">
        <v>9.33</v>
      </c>
    </row>
    <row r="180">
      <c r="A180" t="n">
        <v>826340</v>
      </c>
      <c r="B180" t="inlineStr">
        <is>
          <t>05-05-2026</t>
        </is>
      </c>
      <c r="C180" t="inlineStr">
        <is>
          <t>S123</t>
        </is>
      </c>
      <c r="D180" t="inlineStr">
        <is>
          <t>SKIDDER</t>
        </is>
      </c>
      <c r="E180" t="inlineStr">
        <is>
          <t>EL CABRITO CBB</t>
        </is>
      </c>
      <c r="F180" t="inlineStr">
        <is>
          <t>PIRA</t>
        </is>
      </c>
      <c r="G180" t="n">
        <v>540</v>
      </c>
      <c r="H180" t="n">
        <v>0</v>
      </c>
      <c r="I180" t="n">
        <v>5.5</v>
      </c>
      <c r="J180" t="n">
        <v>44</v>
      </c>
      <c r="K180" t="n">
        <v>0</v>
      </c>
      <c r="L180" t="n">
        <v>3.49</v>
      </c>
      <c r="M180" t="n">
        <v>0</v>
      </c>
      <c r="N180" t="n">
        <v>180</v>
      </c>
      <c r="O180" t="n">
        <v>100</v>
      </c>
      <c r="P180" t="n">
        <v>0.63</v>
      </c>
    </row>
    <row r="181">
      <c r="A181" t="n">
        <v>826340</v>
      </c>
      <c r="B181" t="inlineStr">
        <is>
          <t>05-05-2026</t>
        </is>
      </c>
      <c r="C181" t="inlineStr">
        <is>
          <t>S123</t>
        </is>
      </c>
      <c r="D181" t="inlineStr">
        <is>
          <t>SKIDDER</t>
        </is>
      </c>
      <c r="E181" t="inlineStr">
        <is>
          <t>EL CABRITO CBB</t>
        </is>
      </c>
      <c r="F181" t="inlineStr">
        <is>
          <t>PIRA</t>
        </is>
      </c>
      <c r="G181" t="n">
        <v>540</v>
      </c>
      <c r="H181" t="n">
        <v>0</v>
      </c>
      <c r="I181" t="n">
        <v>5.5</v>
      </c>
      <c r="J181" t="n">
        <v>44</v>
      </c>
      <c r="K181" t="n">
        <v>0</v>
      </c>
      <c r="L181" t="n">
        <v>9.619999999999999</v>
      </c>
      <c r="M181" t="n">
        <v>0</v>
      </c>
      <c r="N181" t="n">
        <v>180</v>
      </c>
      <c r="O181" t="n">
        <v>100</v>
      </c>
      <c r="P181" t="n">
        <v>1.75</v>
      </c>
    </row>
    <row r="182">
      <c r="A182" t="n">
        <v>826340</v>
      </c>
      <c r="B182" t="inlineStr">
        <is>
          <t>05-05-2026</t>
        </is>
      </c>
      <c r="C182" t="inlineStr">
        <is>
          <t>S123</t>
        </is>
      </c>
      <c r="D182" t="inlineStr">
        <is>
          <t>SKIDDER</t>
        </is>
      </c>
      <c r="E182" t="inlineStr">
        <is>
          <t>EL CABRITO CBB</t>
        </is>
      </c>
      <c r="F182" t="inlineStr">
        <is>
          <t>PIRA</t>
        </is>
      </c>
      <c r="G182" t="n">
        <v>540</v>
      </c>
      <c r="H182" t="n">
        <v>0</v>
      </c>
      <c r="I182" t="n">
        <v>5.5</v>
      </c>
      <c r="J182" t="n">
        <v>44</v>
      </c>
      <c r="K182" t="n">
        <v>0</v>
      </c>
      <c r="L182" t="n">
        <v>63</v>
      </c>
      <c r="M182" t="n">
        <v>0</v>
      </c>
      <c r="N182" t="n">
        <v>180</v>
      </c>
      <c r="O182" t="n">
        <v>100</v>
      </c>
      <c r="P182" t="n">
        <v>11.45</v>
      </c>
    </row>
    <row r="183">
      <c r="A183" t="n">
        <v>826340</v>
      </c>
      <c r="B183" t="inlineStr">
        <is>
          <t>05-05-2026</t>
        </is>
      </c>
      <c r="C183" t="inlineStr">
        <is>
          <t>S123</t>
        </is>
      </c>
      <c r="D183" t="inlineStr">
        <is>
          <t>SKIDDER</t>
        </is>
      </c>
      <c r="E183" t="inlineStr">
        <is>
          <t>EL CABRITO CBB</t>
        </is>
      </c>
      <c r="F183" t="inlineStr">
        <is>
          <t>PIRA</t>
        </is>
      </c>
      <c r="G183" t="n">
        <v>540</v>
      </c>
      <c r="H183" t="n">
        <v>0</v>
      </c>
      <c r="I183" t="n">
        <v>5.5</v>
      </c>
      <c r="J183" t="n">
        <v>44</v>
      </c>
      <c r="K183" t="n">
        <v>0</v>
      </c>
      <c r="L183" t="n">
        <v>23.56</v>
      </c>
      <c r="M183" t="n">
        <v>0</v>
      </c>
      <c r="N183" t="n">
        <v>180</v>
      </c>
      <c r="O183" t="n">
        <v>100</v>
      </c>
      <c r="P183" t="n">
        <v>4.28</v>
      </c>
    </row>
    <row r="184">
      <c r="A184" t="n">
        <v>826340</v>
      </c>
      <c r="B184" t="inlineStr">
        <is>
          <t>05-05-2026</t>
        </is>
      </c>
      <c r="C184" t="inlineStr">
        <is>
          <t>S123</t>
        </is>
      </c>
      <c r="D184" t="inlineStr">
        <is>
          <t>SKIDDER</t>
        </is>
      </c>
      <c r="E184" t="inlineStr">
        <is>
          <t>EL CABRITO CBB</t>
        </is>
      </c>
      <c r="F184" t="inlineStr">
        <is>
          <t>PIRA</t>
        </is>
      </c>
      <c r="G184" t="n">
        <v>540</v>
      </c>
      <c r="H184" t="n">
        <v>0</v>
      </c>
      <c r="I184" t="n">
        <v>5.5</v>
      </c>
      <c r="J184" t="n">
        <v>44</v>
      </c>
      <c r="K184" t="n">
        <v>0</v>
      </c>
      <c r="L184" t="n">
        <v>7.59</v>
      </c>
      <c r="M184" t="n">
        <v>0</v>
      </c>
      <c r="N184" t="n">
        <v>180</v>
      </c>
      <c r="O184" t="n">
        <v>100</v>
      </c>
      <c r="P184" t="n">
        <v>1.38</v>
      </c>
    </row>
    <row r="185">
      <c r="A185" t="n">
        <v>826340</v>
      </c>
      <c r="B185" t="inlineStr">
        <is>
          <t>05-05-2026</t>
        </is>
      </c>
      <c r="C185" t="inlineStr">
        <is>
          <t>S123</t>
        </is>
      </c>
      <c r="D185" t="inlineStr">
        <is>
          <t>SKIDDER</t>
        </is>
      </c>
      <c r="E185" t="inlineStr">
        <is>
          <t>EL CABRITO CBB</t>
        </is>
      </c>
      <c r="F185" t="inlineStr">
        <is>
          <t>PIRA</t>
        </is>
      </c>
      <c r="G185" t="n">
        <v>540</v>
      </c>
      <c r="H185" t="n">
        <v>0</v>
      </c>
      <c r="I185" t="n">
        <v>5.5</v>
      </c>
      <c r="J185" t="n">
        <v>44</v>
      </c>
      <c r="K185" t="n">
        <v>0</v>
      </c>
      <c r="L185" t="n">
        <v>0</v>
      </c>
      <c r="M185" t="n">
        <v>0</v>
      </c>
      <c r="N185" t="n">
        <v>180</v>
      </c>
      <c r="O185" t="n">
        <v>100</v>
      </c>
      <c r="P185" t="n">
        <v>0</v>
      </c>
    </row>
    <row r="186">
      <c r="A186" t="n">
        <v>826341</v>
      </c>
      <c r="B186" t="inlineStr">
        <is>
          <t>05-05-2026</t>
        </is>
      </c>
      <c r="C186" t="inlineStr">
        <is>
          <t>S123</t>
        </is>
      </c>
      <c r="D186" t="inlineStr">
        <is>
          <t>SKIDDER</t>
        </is>
      </c>
      <c r="E186" t="inlineStr">
        <is>
          <t>EL CABRITO CBB</t>
        </is>
      </c>
      <c r="F186" t="inlineStr">
        <is>
          <t>PIRA</t>
        </is>
      </c>
      <c r="G186" t="n">
        <v>180</v>
      </c>
      <c r="H186" t="n">
        <v>0</v>
      </c>
      <c r="I186" t="n">
        <v>2</v>
      </c>
      <c r="J186" t="n">
        <v>19</v>
      </c>
      <c r="K186" t="n">
        <v>0</v>
      </c>
      <c r="L186" t="n">
        <v>23.59</v>
      </c>
      <c r="M186" t="n">
        <v>0</v>
      </c>
      <c r="N186" t="n">
        <v>30</v>
      </c>
      <c r="O186" t="n">
        <v>100</v>
      </c>
      <c r="P186" t="n">
        <v>11.8</v>
      </c>
    </row>
    <row r="187">
      <c r="A187" t="n">
        <v>826341</v>
      </c>
      <c r="B187" t="inlineStr">
        <is>
          <t>05-05-2026</t>
        </is>
      </c>
      <c r="C187" t="inlineStr">
        <is>
          <t>S123</t>
        </is>
      </c>
      <c r="D187" t="inlineStr">
        <is>
          <t>SKIDDER</t>
        </is>
      </c>
      <c r="E187" t="inlineStr">
        <is>
          <t>EL CABRITO CBB</t>
        </is>
      </c>
      <c r="F187" t="inlineStr">
        <is>
          <t>PIRA</t>
        </is>
      </c>
      <c r="G187" t="n">
        <v>180</v>
      </c>
      <c r="H187" t="n">
        <v>0</v>
      </c>
      <c r="I187" t="n">
        <v>2</v>
      </c>
      <c r="J187" t="n">
        <v>19</v>
      </c>
      <c r="K187" t="n">
        <v>0</v>
      </c>
      <c r="L187" t="n">
        <v>36.96</v>
      </c>
      <c r="M187" t="n">
        <v>0</v>
      </c>
      <c r="N187" t="n">
        <v>30</v>
      </c>
      <c r="O187" t="n">
        <v>100</v>
      </c>
      <c r="P187" t="n">
        <v>18.48</v>
      </c>
    </row>
    <row r="188">
      <c r="A188" t="n">
        <v>826354</v>
      </c>
      <c r="B188" t="inlineStr">
        <is>
          <t>05-05-2026</t>
        </is>
      </c>
      <c r="C188" t="inlineStr">
        <is>
          <t>S58</t>
        </is>
      </c>
      <c r="D188" t="inlineStr">
        <is>
          <t>SKIDDER</t>
        </is>
      </c>
      <c r="E188" t="inlineStr">
        <is>
          <t>COIHUECO Y OTROS (BB)</t>
        </is>
      </c>
      <c r="F188" t="inlineStr">
        <is>
          <t>PIRA</t>
        </is>
      </c>
      <c r="G188" t="n">
        <v>720</v>
      </c>
      <c r="H188" t="n">
        <v>0</v>
      </c>
      <c r="I188" t="n">
        <v>7</v>
      </c>
      <c r="J188" t="n">
        <v>25</v>
      </c>
      <c r="K188" t="n">
        <v>0</v>
      </c>
      <c r="L188" t="n">
        <v>4.47</v>
      </c>
      <c r="M188" t="n">
        <v>0</v>
      </c>
      <c r="N188" t="n">
        <v>240</v>
      </c>
      <c r="O188" t="n">
        <v>100</v>
      </c>
      <c r="P188" t="n">
        <v>0.64</v>
      </c>
    </row>
    <row r="189">
      <c r="A189" t="n">
        <v>826354</v>
      </c>
      <c r="B189" t="inlineStr">
        <is>
          <t>05-05-2026</t>
        </is>
      </c>
      <c r="C189" t="inlineStr">
        <is>
          <t>S58</t>
        </is>
      </c>
      <c r="D189" t="inlineStr">
        <is>
          <t>SKIDDER</t>
        </is>
      </c>
      <c r="E189" t="inlineStr">
        <is>
          <t>COIHUECO Y OTROS (BB)</t>
        </is>
      </c>
      <c r="F189" t="inlineStr">
        <is>
          <t>PIRA</t>
        </is>
      </c>
      <c r="G189" t="n">
        <v>720</v>
      </c>
      <c r="H189" t="n">
        <v>0</v>
      </c>
      <c r="I189" t="n">
        <v>7</v>
      </c>
      <c r="J189" t="n">
        <v>25</v>
      </c>
      <c r="K189" t="n">
        <v>0</v>
      </c>
      <c r="L189" t="n">
        <v>1.94</v>
      </c>
      <c r="M189" t="n">
        <v>0</v>
      </c>
      <c r="N189" t="n">
        <v>240</v>
      </c>
      <c r="O189" t="n">
        <v>100</v>
      </c>
      <c r="P189" t="n">
        <v>0.28</v>
      </c>
    </row>
    <row r="190">
      <c r="A190" t="n">
        <v>826354</v>
      </c>
      <c r="B190" t="inlineStr">
        <is>
          <t>05-05-2026</t>
        </is>
      </c>
      <c r="C190" t="inlineStr">
        <is>
          <t>S58</t>
        </is>
      </c>
      <c r="D190" t="inlineStr">
        <is>
          <t>SKIDDER</t>
        </is>
      </c>
      <c r="E190" t="inlineStr">
        <is>
          <t>COIHUECO Y OTROS (BB)</t>
        </is>
      </c>
      <c r="F190" t="inlineStr">
        <is>
          <t>PIRA</t>
        </is>
      </c>
      <c r="G190" t="n">
        <v>720</v>
      </c>
      <c r="H190" t="n">
        <v>0</v>
      </c>
      <c r="I190" t="n">
        <v>7</v>
      </c>
      <c r="J190" t="n">
        <v>25</v>
      </c>
      <c r="K190" t="n">
        <v>0</v>
      </c>
      <c r="L190" t="n">
        <v>20.15</v>
      </c>
      <c r="M190" t="n">
        <v>0</v>
      </c>
      <c r="N190" t="n">
        <v>240</v>
      </c>
      <c r="O190" t="n">
        <v>100</v>
      </c>
      <c r="P190" t="n">
        <v>2.88</v>
      </c>
    </row>
    <row r="191">
      <c r="A191" t="n">
        <v>826354</v>
      </c>
      <c r="B191" t="inlineStr">
        <is>
          <t>05-05-2026</t>
        </is>
      </c>
      <c r="C191" t="inlineStr">
        <is>
          <t>S58</t>
        </is>
      </c>
      <c r="D191" t="inlineStr">
        <is>
          <t>SKIDDER</t>
        </is>
      </c>
      <c r="E191" t="inlineStr">
        <is>
          <t>COIHUECO Y OTROS (BB)</t>
        </is>
      </c>
      <c r="F191" t="inlineStr">
        <is>
          <t>PIRA</t>
        </is>
      </c>
      <c r="G191" t="n">
        <v>720</v>
      </c>
      <c r="H191" t="n">
        <v>0</v>
      </c>
      <c r="I191" t="n">
        <v>7</v>
      </c>
      <c r="J191" t="n">
        <v>25</v>
      </c>
      <c r="K191" t="n">
        <v>0</v>
      </c>
      <c r="L191" t="n">
        <v>16.58</v>
      </c>
      <c r="M191" t="n">
        <v>0</v>
      </c>
      <c r="N191" t="n">
        <v>240</v>
      </c>
      <c r="O191" t="n">
        <v>100</v>
      </c>
      <c r="P191" t="n">
        <v>2.37</v>
      </c>
    </row>
    <row r="192">
      <c r="A192" t="n">
        <v>826354</v>
      </c>
      <c r="B192" t="inlineStr">
        <is>
          <t>05-05-2026</t>
        </is>
      </c>
      <c r="C192" t="inlineStr">
        <is>
          <t>S58</t>
        </is>
      </c>
      <c r="D192" t="inlineStr">
        <is>
          <t>SKIDDER</t>
        </is>
      </c>
      <c r="E192" t="inlineStr">
        <is>
          <t>COIHUECO Y OTROS (BB)</t>
        </is>
      </c>
      <c r="F192" t="inlineStr">
        <is>
          <t>PIRA</t>
        </is>
      </c>
      <c r="G192" t="n">
        <v>720</v>
      </c>
      <c r="H192" t="n">
        <v>0</v>
      </c>
      <c r="I192" t="n">
        <v>7</v>
      </c>
      <c r="J192" t="n">
        <v>25</v>
      </c>
      <c r="K192" t="n">
        <v>0</v>
      </c>
      <c r="L192" t="n">
        <v>6.87</v>
      </c>
      <c r="M192" t="n">
        <v>0</v>
      </c>
      <c r="N192" t="n">
        <v>240</v>
      </c>
      <c r="O192" t="n">
        <v>100</v>
      </c>
      <c r="P192" t="n">
        <v>0.98</v>
      </c>
    </row>
    <row r="193">
      <c r="A193" t="n">
        <v>826354</v>
      </c>
      <c r="B193" t="inlineStr">
        <is>
          <t>05-05-2026</t>
        </is>
      </c>
      <c r="C193" t="inlineStr">
        <is>
          <t>S58</t>
        </is>
      </c>
      <c r="D193" t="inlineStr">
        <is>
          <t>SKIDDER</t>
        </is>
      </c>
      <c r="E193" t="inlineStr">
        <is>
          <t>COIHUECO Y OTROS (BB)</t>
        </is>
      </c>
      <c r="F193" t="inlineStr">
        <is>
          <t>PIRA</t>
        </is>
      </c>
      <c r="G193" t="n">
        <v>720</v>
      </c>
      <c r="H193" t="n">
        <v>0</v>
      </c>
      <c r="I193" t="n">
        <v>7</v>
      </c>
      <c r="J193" t="n">
        <v>25</v>
      </c>
      <c r="K193" t="n">
        <v>0</v>
      </c>
      <c r="L193" t="n">
        <v>10</v>
      </c>
      <c r="M193" t="n">
        <v>0</v>
      </c>
      <c r="N193" t="n">
        <v>240</v>
      </c>
      <c r="O193" t="n">
        <v>100</v>
      </c>
      <c r="P193" t="n">
        <v>1.43</v>
      </c>
    </row>
    <row r="194">
      <c r="A194" t="n">
        <v>826354</v>
      </c>
      <c r="B194" t="inlineStr">
        <is>
          <t>05-05-2026</t>
        </is>
      </c>
      <c r="C194" t="inlineStr">
        <is>
          <t>S58</t>
        </is>
      </c>
      <c r="D194" t="inlineStr">
        <is>
          <t>SKIDDER</t>
        </is>
      </c>
      <c r="E194" t="inlineStr">
        <is>
          <t>COIHUECO Y OTROS (BB)</t>
        </is>
      </c>
      <c r="F194" t="inlineStr">
        <is>
          <t>PIRA</t>
        </is>
      </c>
      <c r="G194" t="n">
        <v>720</v>
      </c>
      <c r="H194" t="n">
        <v>0</v>
      </c>
      <c r="I194" t="n">
        <v>7</v>
      </c>
      <c r="J194" t="n">
        <v>25</v>
      </c>
      <c r="K194" t="n">
        <v>0</v>
      </c>
      <c r="L194" t="n">
        <v>21.44</v>
      </c>
      <c r="M194" t="n">
        <v>0</v>
      </c>
      <c r="N194" t="n">
        <v>240</v>
      </c>
      <c r="O194" t="n">
        <v>100</v>
      </c>
      <c r="P194" t="n">
        <v>3.06</v>
      </c>
    </row>
    <row r="195">
      <c r="A195" t="n">
        <v>826354</v>
      </c>
      <c r="B195" t="inlineStr">
        <is>
          <t>05-05-2026</t>
        </is>
      </c>
      <c r="C195" t="inlineStr">
        <is>
          <t>S58</t>
        </is>
      </c>
      <c r="D195" t="inlineStr">
        <is>
          <t>SKIDDER</t>
        </is>
      </c>
      <c r="E195" t="inlineStr">
        <is>
          <t>COIHUECO Y OTROS (BB)</t>
        </is>
      </c>
      <c r="F195" t="inlineStr">
        <is>
          <t>PIRA</t>
        </is>
      </c>
      <c r="G195" t="n">
        <v>720</v>
      </c>
      <c r="H195" t="n">
        <v>0</v>
      </c>
      <c r="I195" t="n">
        <v>7</v>
      </c>
      <c r="J195" t="n">
        <v>25</v>
      </c>
      <c r="K195" t="n">
        <v>0</v>
      </c>
      <c r="L195" t="n">
        <v>7.08</v>
      </c>
      <c r="M195" t="n">
        <v>0</v>
      </c>
      <c r="N195" t="n">
        <v>240</v>
      </c>
      <c r="O195" t="n">
        <v>100</v>
      </c>
      <c r="P195" t="n">
        <v>1.01</v>
      </c>
    </row>
    <row r="196">
      <c r="A196" t="n">
        <v>826354</v>
      </c>
      <c r="B196" t="inlineStr">
        <is>
          <t>05-05-2026</t>
        </is>
      </c>
      <c r="C196" t="inlineStr">
        <is>
          <t>S58</t>
        </is>
      </c>
      <c r="D196" t="inlineStr">
        <is>
          <t>SKIDDER</t>
        </is>
      </c>
      <c r="E196" t="inlineStr">
        <is>
          <t>COIHUECO Y OTROS (BB)</t>
        </is>
      </c>
      <c r="F196" t="inlineStr">
        <is>
          <t>PIRA</t>
        </is>
      </c>
      <c r="G196" t="n">
        <v>720</v>
      </c>
      <c r="H196" t="n">
        <v>0</v>
      </c>
      <c r="I196" t="n">
        <v>7</v>
      </c>
      <c r="J196" t="n">
        <v>25</v>
      </c>
      <c r="K196" t="n">
        <v>0</v>
      </c>
      <c r="L196" t="n">
        <v>7.59</v>
      </c>
      <c r="M196" t="n">
        <v>0</v>
      </c>
      <c r="N196" t="n">
        <v>240</v>
      </c>
      <c r="O196" t="n">
        <v>100</v>
      </c>
      <c r="P196" t="n">
        <v>1.08</v>
      </c>
    </row>
    <row r="197">
      <c r="A197" t="n">
        <v>826355</v>
      </c>
      <c r="B197" t="inlineStr">
        <is>
          <t>05-05-2026</t>
        </is>
      </c>
      <c r="C197" t="inlineStr">
        <is>
          <t>TEA02</t>
        </is>
      </c>
      <c r="D197" t="inlineStr">
        <is>
          <t>FORWINCH</t>
        </is>
      </c>
      <c r="E197" t="inlineStr">
        <is>
          <t>COIHUECO Y OTROS (BB)</t>
        </is>
      </c>
      <c r="F197" t="inlineStr">
        <is>
          <t>PIRA</t>
        </is>
      </c>
      <c r="G197" t="n">
        <v>720</v>
      </c>
      <c r="H197" t="n">
        <v>0</v>
      </c>
      <c r="I197" t="n">
        <v>10.5</v>
      </c>
      <c r="J197" t="n">
        <v>33</v>
      </c>
      <c r="K197" t="n">
        <v>0</v>
      </c>
      <c r="L197" t="n">
        <v>41.26</v>
      </c>
      <c r="M197" t="n">
        <v>0</v>
      </c>
      <c r="N197" t="n">
        <v>30</v>
      </c>
      <c r="O197" t="n">
        <v>100</v>
      </c>
      <c r="P197" t="n">
        <v>3.93</v>
      </c>
    </row>
    <row r="198">
      <c r="A198" t="n">
        <v>826355</v>
      </c>
      <c r="B198" t="inlineStr">
        <is>
          <t>05-05-2026</t>
        </is>
      </c>
      <c r="C198" t="inlineStr">
        <is>
          <t>TEA02</t>
        </is>
      </c>
      <c r="D198" t="inlineStr">
        <is>
          <t>FORWINCH</t>
        </is>
      </c>
      <c r="E198" t="inlineStr">
        <is>
          <t>COIHUECO Y OTROS (BB)</t>
        </is>
      </c>
      <c r="F198" t="inlineStr">
        <is>
          <t>PIRA</t>
        </is>
      </c>
      <c r="G198" t="n">
        <v>720</v>
      </c>
      <c r="H198" t="n">
        <v>0</v>
      </c>
      <c r="I198" t="n">
        <v>10.5</v>
      </c>
      <c r="J198" t="n">
        <v>33</v>
      </c>
      <c r="K198" t="n">
        <v>0</v>
      </c>
      <c r="L198" t="n">
        <v>16.07</v>
      </c>
      <c r="M198" t="n">
        <v>0</v>
      </c>
      <c r="N198" t="n">
        <v>30</v>
      </c>
      <c r="O198" t="n">
        <v>100</v>
      </c>
      <c r="P198" t="n">
        <v>1.53</v>
      </c>
    </row>
    <row r="199">
      <c r="A199" t="n">
        <v>826355</v>
      </c>
      <c r="B199" t="inlineStr">
        <is>
          <t>05-05-2026</t>
        </is>
      </c>
      <c r="C199" t="inlineStr">
        <is>
          <t>TEA02</t>
        </is>
      </c>
      <c r="D199" t="inlineStr">
        <is>
          <t>FORWINCH</t>
        </is>
      </c>
      <c r="E199" t="inlineStr">
        <is>
          <t>COIHUECO Y OTROS (BB)</t>
        </is>
      </c>
      <c r="F199" t="inlineStr">
        <is>
          <t>PIRA</t>
        </is>
      </c>
      <c r="G199" t="n">
        <v>720</v>
      </c>
      <c r="H199" t="n">
        <v>0</v>
      </c>
      <c r="I199" t="n">
        <v>10.5</v>
      </c>
      <c r="J199" t="n">
        <v>33</v>
      </c>
      <c r="K199" t="n">
        <v>0</v>
      </c>
      <c r="L199" t="n">
        <v>6.87</v>
      </c>
      <c r="M199" t="n">
        <v>0</v>
      </c>
      <c r="N199" t="n">
        <v>30</v>
      </c>
      <c r="O199" t="n">
        <v>100</v>
      </c>
      <c r="P199" t="n">
        <v>0.65</v>
      </c>
    </row>
    <row r="200">
      <c r="A200" t="n">
        <v>826355</v>
      </c>
      <c r="B200" t="inlineStr">
        <is>
          <t>05-05-2026</t>
        </is>
      </c>
      <c r="C200" t="inlineStr">
        <is>
          <t>TEA02</t>
        </is>
      </c>
      <c r="D200" t="inlineStr">
        <is>
          <t>FORWINCH</t>
        </is>
      </c>
      <c r="E200" t="inlineStr">
        <is>
          <t>COIHUECO Y OTROS (BB)</t>
        </is>
      </c>
      <c r="F200" t="inlineStr">
        <is>
          <t>PIRA</t>
        </is>
      </c>
      <c r="G200" t="n">
        <v>720</v>
      </c>
      <c r="H200" t="n">
        <v>0</v>
      </c>
      <c r="I200" t="n">
        <v>10.5</v>
      </c>
      <c r="J200" t="n">
        <v>33</v>
      </c>
      <c r="K200" t="n">
        <v>0</v>
      </c>
      <c r="L200" t="n">
        <v>39.67</v>
      </c>
      <c r="M200" t="n">
        <v>0</v>
      </c>
      <c r="N200" t="n">
        <v>30</v>
      </c>
      <c r="O200" t="n">
        <v>100</v>
      </c>
      <c r="P200" t="n">
        <v>3.78</v>
      </c>
    </row>
    <row r="201">
      <c r="A201" t="n">
        <v>826355</v>
      </c>
      <c r="B201" t="inlineStr">
        <is>
          <t>05-05-2026</t>
        </is>
      </c>
      <c r="C201" t="inlineStr">
        <is>
          <t>TEA02</t>
        </is>
      </c>
      <c r="D201" t="inlineStr">
        <is>
          <t>FORWINCH</t>
        </is>
      </c>
      <c r="E201" t="inlineStr">
        <is>
          <t>COIHUECO Y OTROS (BB)</t>
        </is>
      </c>
      <c r="F201" t="inlineStr">
        <is>
          <t>PIRA</t>
        </is>
      </c>
      <c r="G201" t="n">
        <v>720</v>
      </c>
      <c r="H201" t="n">
        <v>0</v>
      </c>
      <c r="I201" t="n">
        <v>10.5</v>
      </c>
      <c r="J201" t="n">
        <v>33</v>
      </c>
      <c r="K201" t="n">
        <v>0</v>
      </c>
      <c r="L201" t="n">
        <v>6.61</v>
      </c>
      <c r="M201" t="n">
        <v>0</v>
      </c>
      <c r="N201" t="n">
        <v>30</v>
      </c>
      <c r="O201" t="n">
        <v>100</v>
      </c>
      <c r="P201" t="n">
        <v>0.63</v>
      </c>
    </row>
    <row r="202">
      <c r="A202" t="n">
        <v>826355</v>
      </c>
      <c r="B202" t="inlineStr">
        <is>
          <t>05-05-2026</t>
        </is>
      </c>
      <c r="C202" t="inlineStr">
        <is>
          <t>TEA02</t>
        </is>
      </c>
      <c r="D202" t="inlineStr">
        <is>
          <t>FORWINCH</t>
        </is>
      </c>
      <c r="E202" t="inlineStr">
        <is>
          <t>COIHUECO Y OTROS (BB)</t>
        </is>
      </c>
      <c r="F202" t="inlineStr">
        <is>
          <t>PIRA</t>
        </is>
      </c>
      <c r="G202" t="n">
        <v>720</v>
      </c>
      <c r="H202" t="n">
        <v>0</v>
      </c>
      <c r="I202" t="n">
        <v>10.5</v>
      </c>
      <c r="J202" t="n">
        <v>33</v>
      </c>
      <c r="K202" t="n">
        <v>0</v>
      </c>
      <c r="L202" t="n">
        <v>45.53</v>
      </c>
      <c r="M202" t="n">
        <v>0</v>
      </c>
      <c r="N202" t="n">
        <v>30</v>
      </c>
      <c r="O202" t="n">
        <v>100</v>
      </c>
      <c r="P202" t="n">
        <v>4.34</v>
      </c>
    </row>
    <row r="203">
      <c r="A203" t="n">
        <v>826449</v>
      </c>
      <c r="B203" t="inlineStr">
        <is>
          <t>06-05-2026</t>
        </is>
      </c>
      <c r="C203" t="inlineStr">
        <is>
          <t>MG5</t>
        </is>
      </c>
      <c r="D203" t="inlineStr">
        <is>
          <t>GRAPPLE</t>
        </is>
      </c>
      <c r="E203" t="inlineStr">
        <is>
          <t>CE-27 ESPINALILLO YBAR</t>
        </is>
      </c>
      <c r="F203" t="inlineStr">
        <is>
          <t>PIRA</t>
        </is>
      </c>
      <c r="G203" t="n">
        <v>720</v>
      </c>
      <c r="H203" t="n">
        <v>0</v>
      </c>
      <c r="I203" t="n">
        <v>11</v>
      </c>
      <c r="J203" t="n">
        <v>0</v>
      </c>
      <c r="K203" t="n">
        <v>0</v>
      </c>
      <c r="L203" t="n">
        <v>66.56</v>
      </c>
      <c r="M203" t="n">
        <v>0</v>
      </c>
      <c r="N203" t="n">
        <v>0</v>
      </c>
      <c r="O203" t="n">
        <v>100</v>
      </c>
      <c r="P203" t="n">
        <v>6.05</v>
      </c>
    </row>
    <row r="204">
      <c r="A204" t="n">
        <v>826449</v>
      </c>
      <c r="B204" t="inlineStr">
        <is>
          <t>06-05-2026</t>
        </is>
      </c>
      <c r="C204" t="inlineStr">
        <is>
          <t>MG5</t>
        </is>
      </c>
      <c r="D204" t="inlineStr">
        <is>
          <t>GRAPPLE</t>
        </is>
      </c>
      <c r="E204" t="inlineStr">
        <is>
          <t>CE-27 ESPINALILLO YBAR</t>
        </is>
      </c>
      <c r="F204" t="inlineStr">
        <is>
          <t>PIRA</t>
        </is>
      </c>
      <c r="G204" t="n">
        <v>720</v>
      </c>
      <c r="H204" t="n">
        <v>0</v>
      </c>
      <c r="I204" t="n">
        <v>11</v>
      </c>
      <c r="J204" t="n">
        <v>0</v>
      </c>
      <c r="K204" t="n">
        <v>0</v>
      </c>
      <c r="L204" t="n">
        <v>36.38</v>
      </c>
      <c r="M204" t="n">
        <v>0</v>
      </c>
      <c r="N204" t="n">
        <v>0</v>
      </c>
      <c r="O204" t="n">
        <v>100</v>
      </c>
      <c r="P204" t="n">
        <v>3.31</v>
      </c>
    </row>
    <row r="205">
      <c r="A205" t="n">
        <v>826449</v>
      </c>
      <c r="B205" t="inlineStr">
        <is>
          <t>06-05-2026</t>
        </is>
      </c>
      <c r="C205" t="inlineStr">
        <is>
          <t>MG5</t>
        </is>
      </c>
      <c r="D205" t="inlineStr">
        <is>
          <t>GRAPPLE</t>
        </is>
      </c>
      <c r="E205" t="inlineStr">
        <is>
          <t>CE-27 ESPINALILLO YBAR</t>
        </is>
      </c>
      <c r="F205" t="inlineStr">
        <is>
          <t>PIRA</t>
        </is>
      </c>
      <c r="G205" t="n">
        <v>720</v>
      </c>
      <c r="H205" t="n">
        <v>0</v>
      </c>
      <c r="I205" t="n">
        <v>11</v>
      </c>
      <c r="J205" t="n">
        <v>0</v>
      </c>
      <c r="K205" t="n">
        <v>0</v>
      </c>
      <c r="L205" t="n">
        <v>71.62</v>
      </c>
      <c r="M205" t="n">
        <v>0</v>
      </c>
      <c r="N205" t="n">
        <v>0</v>
      </c>
      <c r="O205" t="n">
        <v>100</v>
      </c>
      <c r="P205" t="n">
        <v>6.51</v>
      </c>
    </row>
    <row r="206">
      <c r="A206" t="n">
        <v>826454</v>
      </c>
      <c r="B206" t="inlineStr">
        <is>
          <t>06-05-2026</t>
        </is>
      </c>
      <c r="C206" t="inlineStr">
        <is>
          <t>S246</t>
        </is>
      </c>
      <c r="D206" t="inlineStr">
        <is>
          <t>SKIDDER</t>
        </is>
      </c>
      <c r="E206" t="inlineStr">
        <is>
          <t>COIHUECO Y OTROS (BB)</t>
        </is>
      </c>
      <c r="F206" t="inlineStr">
        <is>
          <t>PIRA</t>
        </is>
      </c>
      <c r="G206" t="n">
        <v>720</v>
      </c>
      <c r="H206" t="n">
        <v>0</v>
      </c>
      <c r="I206" t="n">
        <v>9.5</v>
      </c>
      <c r="J206" t="n">
        <v>45</v>
      </c>
      <c r="K206" t="n">
        <v>0</v>
      </c>
      <c r="L206" t="n">
        <v>1.6</v>
      </c>
      <c r="M206" t="n">
        <v>90</v>
      </c>
      <c r="N206" t="n">
        <v>90</v>
      </c>
      <c r="O206" t="n">
        <v>99.8</v>
      </c>
      <c r="P206" t="n">
        <v>0.17</v>
      </c>
    </row>
    <row r="207">
      <c r="A207" t="n">
        <v>826454</v>
      </c>
      <c r="B207" t="inlineStr">
        <is>
          <t>06-05-2026</t>
        </is>
      </c>
      <c r="C207" t="inlineStr">
        <is>
          <t>S246</t>
        </is>
      </c>
      <c r="D207" t="inlineStr">
        <is>
          <t>SKIDDER</t>
        </is>
      </c>
      <c r="E207" t="inlineStr">
        <is>
          <t>COIHUECO Y OTROS (BB)</t>
        </is>
      </c>
      <c r="F207" t="inlineStr">
        <is>
          <t>PIRA</t>
        </is>
      </c>
      <c r="G207" t="n">
        <v>720</v>
      </c>
      <c r="H207" t="n">
        <v>0</v>
      </c>
      <c r="I207" t="n">
        <v>9.5</v>
      </c>
      <c r="J207" t="n">
        <v>45</v>
      </c>
      <c r="K207" t="n">
        <v>0</v>
      </c>
      <c r="L207" t="n">
        <v>30.69</v>
      </c>
      <c r="M207" t="n">
        <v>90</v>
      </c>
      <c r="N207" t="n">
        <v>90</v>
      </c>
      <c r="O207" t="n">
        <v>99.8</v>
      </c>
      <c r="P207" t="n">
        <v>3.23</v>
      </c>
    </row>
    <row r="208">
      <c r="A208" t="n">
        <v>826454</v>
      </c>
      <c r="B208" t="inlineStr">
        <is>
          <t>06-05-2026</t>
        </is>
      </c>
      <c r="C208" t="inlineStr">
        <is>
          <t>S246</t>
        </is>
      </c>
      <c r="D208" t="inlineStr">
        <is>
          <t>SKIDDER</t>
        </is>
      </c>
      <c r="E208" t="inlineStr">
        <is>
          <t>COIHUECO Y OTROS (BB)</t>
        </is>
      </c>
      <c r="F208" t="inlineStr">
        <is>
          <t>PIRA</t>
        </is>
      </c>
      <c r="G208" t="n">
        <v>720</v>
      </c>
      <c r="H208" t="n">
        <v>0</v>
      </c>
      <c r="I208" t="n">
        <v>9.5</v>
      </c>
      <c r="J208" t="n">
        <v>45</v>
      </c>
      <c r="K208" t="n">
        <v>0</v>
      </c>
      <c r="L208" t="n">
        <v>29.07</v>
      </c>
      <c r="M208" t="n">
        <v>90</v>
      </c>
      <c r="N208" t="n">
        <v>90</v>
      </c>
      <c r="O208" t="n">
        <v>99.8</v>
      </c>
      <c r="P208" t="n">
        <v>3.06</v>
      </c>
    </row>
    <row r="209">
      <c r="A209" t="n">
        <v>826454</v>
      </c>
      <c r="B209" t="inlineStr">
        <is>
          <t>06-05-2026</t>
        </is>
      </c>
      <c r="C209" t="inlineStr">
        <is>
          <t>S246</t>
        </is>
      </c>
      <c r="D209" t="inlineStr">
        <is>
          <t>SKIDDER</t>
        </is>
      </c>
      <c r="E209" t="inlineStr">
        <is>
          <t>COIHUECO Y OTROS (BB)</t>
        </is>
      </c>
      <c r="F209" t="inlineStr">
        <is>
          <t>PIRA</t>
        </is>
      </c>
      <c r="G209" t="n">
        <v>720</v>
      </c>
      <c r="H209" t="n">
        <v>0</v>
      </c>
      <c r="I209" t="n">
        <v>9.5</v>
      </c>
      <c r="J209" t="n">
        <v>45</v>
      </c>
      <c r="K209" t="n">
        <v>0</v>
      </c>
      <c r="L209" t="n">
        <v>0</v>
      </c>
      <c r="M209" t="n">
        <v>90</v>
      </c>
      <c r="N209" t="n">
        <v>90</v>
      </c>
      <c r="O209" t="n">
        <v>99.8</v>
      </c>
      <c r="P209" t="n">
        <v>0</v>
      </c>
    </row>
    <row r="210">
      <c r="A210" t="n">
        <v>826454</v>
      </c>
      <c r="B210" t="inlineStr">
        <is>
          <t>06-05-2026</t>
        </is>
      </c>
      <c r="C210" t="inlineStr">
        <is>
          <t>S246</t>
        </is>
      </c>
      <c r="D210" t="inlineStr">
        <is>
          <t>SKIDDER</t>
        </is>
      </c>
      <c r="E210" t="inlineStr">
        <is>
          <t>COIHUECO Y OTROS (BB)</t>
        </is>
      </c>
      <c r="F210" t="inlineStr">
        <is>
          <t>PIRA</t>
        </is>
      </c>
      <c r="G210" t="n">
        <v>720</v>
      </c>
      <c r="H210" t="n">
        <v>0</v>
      </c>
      <c r="I210" t="n">
        <v>9.5</v>
      </c>
      <c r="J210" t="n">
        <v>45</v>
      </c>
      <c r="K210" t="n">
        <v>0</v>
      </c>
      <c r="L210" t="n">
        <v>5.13</v>
      </c>
      <c r="M210" t="n">
        <v>90</v>
      </c>
      <c r="N210" t="n">
        <v>90</v>
      </c>
      <c r="O210" t="n">
        <v>99.8</v>
      </c>
      <c r="P210" t="n">
        <v>0.54</v>
      </c>
    </row>
    <row r="211">
      <c r="A211" t="n">
        <v>826454</v>
      </c>
      <c r="B211" t="inlineStr">
        <is>
          <t>06-05-2026</t>
        </is>
      </c>
      <c r="C211" t="inlineStr">
        <is>
          <t>S246</t>
        </is>
      </c>
      <c r="D211" t="inlineStr">
        <is>
          <t>SKIDDER</t>
        </is>
      </c>
      <c r="E211" t="inlineStr">
        <is>
          <t>COIHUECO Y OTROS (BB)</t>
        </is>
      </c>
      <c r="F211" t="inlineStr">
        <is>
          <t>PIRA</t>
        </is>
      </c>
      <c r="G211" t="n">
        <v>720</v>
      </c>
      <c r="H211" t="n">
        <v>0</v>
      </c>
      <c r="I211" t="n">
        <v>9.5</v>
      </c>
      <c r="J211" t="n">
        <v>45</v>
      </c>
      <c r="K211" t="n">
        <v>0</v>
      </c>
      <c r="L211" t="n">
        <v>13.74</v>
      </c>
      <c r="M211" t="n">
        <v>90</v>
      </c>
      <c r="N211" t="n">
        <v>90</v>
      </c>
      <c r="O211" t="n">
        <v>99.8</v>
      </c>
      <c r="P211" t="n">
        <v>1.45</v>
      </c>
    </row>
    <row r="212">
      <c r="A212" t="n">
        <v>826454</v>
      </c>
      <c r="B212" t="inlineStr">
        <is>
          <t>06-05-2026</t>
        </is>
      </c>
      <c r="C212" t="inlineStr">
        <is>
          <t>S246</t>
        </is>
      </c>
      <c r="D212" t="inlineStr">
        <is>
          <t>SKIDDER</t>
        </is>
      </c>
      <c r="E212" t="inlineStr">
        <is>
          <t>COIHUECO Y OTROS (BB)</t>
        </is>
      </c>
      <c r="F212" t="inlineStr">
        <is>
          <t>PIRA</t>
        </is>
      </c>
      <c r="G212" t="n">
        <v>720</v>
      </c>
      <c r="H212" t="n">
        <v>0</v>
      </c>
      <c r="I212" t="n">
        <v>9.5</v>
      </c>
      <c r="J212" t="n">
        <v>45</v>
      </c>
      <c r="K212" t="n">
        <v>0</v>
      </c>
      <c r="L212" t="n">
        <v>77.52</v>
      </c>
      <c r="M212" t="n">
        <v>90</v>
      </c>
      <c r="N212" t="n">
        <v>90</v>
      </c>
      <c r="O212" t="n">
        <v>99.8</v>
      </c>
      <c r="P212" t="n">
        <v>8.16</v>
      </c>
    </row>
    <row r="213">
      <c r="A213" t="n">
        <v>826454</v>
      </c>
      <c r="B213" t="inlineStr">
        <is>
          <t>06-05-2026</t>
        </is>
      </c>
      <c r="C213" t="inlineStr">
        <is>
          <t>S246</t>
        </is>
      </c>
      <c r="D213" t="inlineStr">
        <is>
          <t>SKIDDER</t>
        </is>
      </c>
      <c r="E213" t="inlineStr">
        <is>
          <t>COIHUECO Y OTROS (BB)</t>
        </is>
      </c>
      <c r="F213" t="inlineStr">
        <is>
          <t>PIRA</t>
        </is>
      </c>
      <c r="G213" t="n">
        <v>720</v>
      </c>
      <c r="H213" t="n">
        <v>0</v>
      </c>
      <c r="I213" t="n">
        <v>9.5</v>
      </c>
      <c r="J213" t="n">
        <v>45</v>
      </c>
      <c r="K213" t="n">
        <v>0</v>
      </c>
      <c r="L213" t="n">
        <v>57</v>
      </c>
      <c r="M213" t="n">
        <v>90</v>
      </c>
      <c r="N213" t="n">
        <v>90</v>
      </c>
      <c r="O213" t="n">
        <v>99.8</v>
      </c>
      <c r="P213" t="n">
        <v>6</v>
      </c>
    </row>
    <row r="214">
      <c r="A214" t="n">
        <v>826454</v>
      </c>
      <c r="B214" t="inlineStr">
        <is>
          <t>06-05-2026</t>
        </is>
      </c>
      <c r="C214" t="inlineStr">
        <is>
          <t>S246</t>
        </is>
      </c>
      <c r="D214" t="inlineStr">
        <is>
          <t>SKIDDER</t>
        </is>
      </c>
      <c r="E214" t="inlineStr">
        <is>
          <t>COIHUECO Y OTROS (BB)</t>
        </is>
      </c>
      <c r="F214" t="inlineStr">
        <is>
          <t>PIRA</t>
        </is>
      </c>
      <c r="G214" t="n">
        <v>720</v>
      </c>
      <c r="H214" t="n">
        <v>0</v>
      </c>
      <c r="I214" t="n">
        <v>9.5</v>
      </c>
      <c r="J214" t="n">
        <v>45</v>
      </c>
      <c r="K214" t="n">
        <v>0</v>
      </c>
      <c r="L214" t="n">
        <v>10.12</v>
      </c>
      <c r="M214" t="n">
        <v>90</v>
      </c>
      <c r="N214" t="n">
        <v>90</v>
      </c>
      <c r="O214" t="n">
        <v>99.8</v>
      </c>
      <c r="P214" t="n">
        <v>1.06</v>
      </c>
    </row>
    <row r="215">
      <c r="A215" t="n">
        <v>826454</v>
      </c>
      <c r="B215" t="inlineStr">
        <is>
          <t>06-05-2026</t>
        </is>
      </c>
      <c r="C215" t="inlineStr">
        <is>
          <t>S246</t>
        </is>
      </c>
      <c r="D215" t="inlineStr">
        <is>
          <t>SKIDDER</t>
        </is>
      </c>
      <c r="E215" t="inlineStr">
        <is>
          <t>COIHUECO Y OTROS (BB)</t>
        </is>
      </c>
      <c r="F215" t="inlineStr">
        <is>
          <t>PIRA</t>
        </is>
      </c>
      <c r="G215" t="n">
        <v>720</v>
      </c>
      <c r="H215" t="n">
        <v>0</v>
      </c>
      <c r="I215" t="n">
        <v>9.5</v>
      </c>
      <c r="J215" t="n">
        <v>45</v>
      </c>
      <c r="K215" t="n">
        <v>0</v>
      </c>
      <c r="L215" t="n">
        <v>10.12</v>
      </c>
      <c r="M215" t="n">
        <v>90</v>
      </c>
      <c r="N215" t="n">
        <v>90</v>
      </c>
      <c r="O215" t="n">
        <v>99.8</v>
      </c>
      <c r="P215" t="n">
        <v>1.06</v>
      </c>
    </row>
    <row r="216">
      <c r="A216" t="n">
        <v>826463</v>
      </c>
      <c r="B216" t="inlineStr">
        <is>
          <t>06-05-2026</t>
        </is>
      </c>
      <c r="C216" t="inlineStr">
        <is>
          <t>S123</t>
        </is>
      </c>
      <c r="D216" t="inlineStr">
        <is>
          <t>SKIDDER</t>
        </is>
      </c>
      <c r="E216" t="inlineStr">
        <is>
          <t>EL CABRITO CBB</t>
        </is>
      </c>
      <c r="F216" t="inlineStr">
        <is>
          <t>PIRA</t>
        </is>
      </c>
      <c r="G216" t="n">
        <v>540</v>
      </c>
      <c r="H216" t="n">
        <v>0</v>
      </c>
      <c r="I216" t="n">
        <v>7.5</v>
      </c>
      <c r="J216" t="n">
        <v>39</v>
      </c>
      <c r="K216" t="n">
        <v>0</v>
      </c>
      <c r="L216" t="n">
        <v>0</v>
      </c>
      <c r="M216" t="n">
        <v>0</v>
      </c>
      <c r="N216" t="n">
        <v>60</v>
      </c>
      <c r="O216" t="n">
        <v>100</v>
      </c>
      <c r="P216" t="n">
        <v>0</v>
      </c>
    </row>
    <row r="217">
      <c r="A217" t="n">
        <v>826463</v>
      </c>
      <c r="B217" t="inlineStr">
        <is>
          <t>06-05-2026</t>
        </is>
      </c>
      <c r="C217" t="inlineStr">
        <is>
          <t>S123</t>
        </is>
      </c>
      <c r="D217" t="inlineStr">
        <is>
          <t>SKIDDER</t>
        </is>
      </c>
      <c r="E217" t="inlineStr">
        <is>
          <t>EL CABRITO CBB</t>
        </is>
      </c>
      <c r="F217" t="inlineStr">
        <is>
          <t>PIRA</t>
        </is>
      </c>
      <c r="G217" t="n">
        <v>540</v>
      </c>
      <c r="H217" t="n">
        <v>0</v>
      </c>
      <c r="I217" t="n">
        <v>7.5</v>
      </c>
      <c r="J217" t="n">
        <v>39</v>
      </c>
      <c r="K217" t="n">
        <v>0</v>
      </c>
      <c r="L217" t="n">
        <v>7.98</v>
      </c>
      <c r="M217" t="n">
        <v>0</v>
      </c>
      <c r="N217" t="n">
        <v>60</v>
      </c>
      <c r="O217" t="n">
        <v>100</v>
      </c>
      <c r="P217" t="n">
        <v>1.06</v>
      </c>
    </row>
    <row r="218">
      <c r="A218" t="n">
        <v>826463</v>
      </c>
      <c r="B218" t="inlineStr">
        <is>
          <t>06-05-2026</t>
        </is>
      </c>
      <c r="C218" t="inlineStr">
        <is>
          <t>S123</t>
        </is>
      </c>
      <c r="D218" t="inlineStr">
        <is>
          <t>SKIDDER</t>
        </is>
      </c>
      <c r="E218" t="inlineStr">
        <is>
          <t>EL CABRITO CBB</t>
        </is>
      </c>
      <c r="F218" t="inlineStr">
        <is>
          <t>PIRA</t>
        </is>
      </c>
      <c r="G218" t="n">
        <v>540</v>
      </c>
      <c r="H218" t="n">
        <v>0</v>
      </c>
      <c r="I218" t="n">
        <v>7.5</v>
      </c>
      <c r="J218" t="n">
        <v>39</v>
      </c>
      <c r="K218" t="n">
        <v>0</v>
      </c>
      <c r="L218" t="n">
        <v>31.21</v>
      </c>
      <c r="M218" t="n">
        <v>0</v>
      </c>
      <c r="N218" t="n">
        <v>60</v>
      </c>
      <c r="O218" t="n">
        <v>100</v>
      </c>
      <c r="P218" t="n">
        <v>4.16</v>
      </c>
    </row>
    <row r="219">
      <c r="A219" t="n">
        <v>826463</v>
      </c>
      <c r="B219" t="inlineStr">
        <is>
          <t>06-05-2026</t>
        </is>
      </c>
      <c r="C219" t="inlineStr">
        <is>
          <t>S123</t>
        </is>
      </c>
      <c r="D219" t="inlineStr">
        <is>
          <t>SKIDDER</t>
        </is>
      </c>
      <c r="E219" t="inlineStr">
        <is>
          <t>EL CABRITO CBB</t>
        </is>
      </c>
      <c r="F219" t="inlineStr">
        <is>
          <t>PIRA</t>
        </is>
      </c>
      <c r="G219" t="n">
        <v>540</v>
      </c>
      <c r="H219" t="n">
        <v>0</v>
      </c>
      <c r="I219" t="n">
        <v>7.5</v>
      </c>
      <c r="J219" t="n">
        <v>39</v>
      </c>
      <c r="K219" t="n">
        <v>0</v>
      </c>
      <c r="L219" t="n">
        <v>64.91</v>
      </c>
      <c r="M219" t="n">
        <v>0</v>
      </c>
      <c r="N219" t="n">
        <v>60</v>
      </c>
      <c r="O219" t="n">
        <v>100</v>
      </c>
      <c r="P219" t="n">
        <v>8.66</v>
      </c>
    </row>
    <row r="220">
      <c r="A220" t="n">
        <v>826463</v>
      </c>
      <c r="B220" t="inlineStr">
        <is>
          <t>06-05-2026</t>
        </is>
      </c>
      <c r="C220" t="inlineStr">
        <is>
          <t>S123</t>
        </is>
      </c>
      <c r="D220" t="inlineStr">
        <is>
          <t>SKIDDER</t>
        </is>
      </c>
      <c r="E220" t="inlineStr">
        <is>
          <t>EL CABRITO CBB</t>
        </is>
      </c>
      <c r="F220" t="inlineStr">
        <is>
          <t>PIRA</t>
        </is>
      </c>
      <c r="G220" t="n">
        <v>540</v>
      </c>
      <c r="H220" t="n">
        <v>0</v>
      </c>
      <c r="I220" t="n">
        <v>7.5</v>
      </c>
      <c r="J220" t="n">
        <v>39</v>
      </c>
      <c r="K220" t="n">
        <v>0</v>
      </c>
      <c r="L220" t="n">
        <v>3.49</v>
      </c>
      <c r="M220" t="n">
        <v>0</v>
      </c>
      <c r="N220" t="n">
        <v>60</v>
      </c>
      <c r="O220" t="n">
        <v>100</v>
      </c>
      <c r="P220" t="n">
        <v>0.47</v>
      </c>
    </row>
    <row r="221">
      <c r="A221" t="n">
        <v>826463</v>
      </c>
      <c r="B221" t="inlineStr">
        <is>
          <t>06-05-2026</t>
        </is>
      </c>
      <c r="C221" t="inlineStr">
        <is>
          <t>S123</t>
        </is>
      </c>
      <c r="D221" t="inlineStr">
        <is>
          <t>SKIDDER</t>
        </is>
      </c>
      <c r="E221" t="inlineStr">
        <is>
          <t>EL CABRITO CBB</t>
        </is>
      </c>
      <c r="F221" t="inlineStr">
        <is>
          <t>PIRA</t>
        </is>
      </c>
      <c r="G221" t="n">
        <v>540</v>
      </c>
      <c r="H221" t="n">
        <v>0</v>
      </c>
      <c r="I221" t="n">
        <v>7.5</v>
      </c>
      <c r="J221" t="n">
        <v>39</v>
      </c>
      <c r="K221" t="n">
        <v>0</v>
      </c>
      <c r="L221" t="n">
        <v>24.72</v>
      </c>
      <c r="M221" t="n">
        <v>0</v>
      </c>
      <c r="N221" t="n">
        <v>60</v>
      </c>
      <c r="O221" t="n">
        <v>100</v>
      </c>
      <c r="P221" t="n">
        <v>3.3</v>
      </c>
    </row>
    <row r="222">
      <c r="A222" t="n">
        <v>826463</v>
      </c>
      <c r="B222" t="inlineStr">
        <is>
          <t>06-05-2026</t>
        </is>
      </c>
      <c r="C222" t="inlineStr">
        <is>
          <t>S123</t>
        </is>
      </c>
      <c r="D222" t="inlineStr">
        <is>
          <t>SKIDDER</t>
        </is>
      </c>
      <c r="E222" t="inlineStr">
        <is>
          <t>EL CABRITO CBB</t>
        </is>
      </c>
      <c r="F222" t="inlineStr">
        <is>
          <t>PIRA</t>
        </is>
      </c>
      <c r="G222" t="n">
        <v>540</v>
      </c>
      <c r="H222" t="n">
        <v>0</v>
      </c>
      <c r="I222" t="n">
        <v>7.5</v>
      </c>
      <c r="J222" t="n">
        <v>39</v>
      </c>
      <c r="K222" t="n">
        <v>0</v>
      </c>
      <c r="L222" t="n">
        <v>35.39</v>
      </c>
      <c r="M222" t="n">
        <v>0</v>
      </c>
      <c r="N222" t="n">
        <v>60</v>
      </c>
      <c r="O222" t="n">
        <v>100</v>
      </c>
      <c r="P222" t="n">
        <v>4.72</v>
      </c>
    </row>
    <row r="223">
      <c r="A223" t="n">
        <v>826463</v>
      </c>
      <c r="B223" t="inlineStr">
        <is>
          <t>06-05-2026</t>
        </is>
      </c>
      <c r="C223" t="inlineStr">
        <is>
          <t>S123</t>
        </is>
      </c>
      <c r="D223" t="inlineStr">
        <is>
          <t>SKIDDER</t>
        </is>
      </c>
      <c r="E223" t="inlineStr">
        <is>
          <t>EL CABRITO CBB</t>
        </is>
      </c>
      <c r="F223" t="inlineStr">
        <is>
          <t>PIRA</t>
        </is>
      </c>
      <c r="G223" t="n">
        <v>540</v>
      </c>
      <c r="H223" t="n">
        <v>0</v>
      </c>
      <c r="I223" t="n">
        <v>7.5</v>
      </c>
      <c r="J223" t="n">
        <v>39</v>
      </c>
      <c r="K223" t="n">
        <v>0</v>
      </c>
      <c r="L223" t="n">
        <v>24.95</v>
      </c>
      <c r="M223" t="n">
        <v>0</v>
      </c>
      <c r="N223" t="n">
        <v>60</v>
      </c>
      <c r="O223" t="n">
        <v>100</v>
      </c>
      <c r="P223" t="n">
        <v>3.33</v>
      </c>
    </row>
    <row r="224">
      <c r="A224" t="n">
        <v>826463</v>
      </c>
      <c r="B224" t="inlineStr">
        <is>
          <t>06-05-2026</t>
        </is>
      </c>
      <c r="C224" t="inlineStr">
        <is>
          <t>S123</t>
        </is>
      </c>
      <c r="D224" t="inlineStr">
        <is>
          <t>SKIDDER</t>
        </is>
      </c>
      <c r="E224" t="inlineStr">
        <is>
          <t>EL CABRITO CBB</t>
        </is>
      </c>
      <c r="F224" t="inlineStr">
        <is>
          <t>PIRA</t>
        </is>
      </c>
      <c r="G224" t="n">
        <v>540</v>
      </c>
      <c r="H224" t="n">
        <v>0</v>
      </c>
      <c r="I224" t="n">
        <v>7.5</v>
      </c>
      <c r="J224" t="n">
        <v>39</v>
      </c>
      <c r="K224" t="n">
        <v>0</v>
      </c>
      <c r="L224" t="n">
        <v>19.73</v>
      </c>
      <c r="M224" t="n">
        <v>0</v>
      </c>
      <c r="N224" t="n">
        <v>60</v>
      </c>
      <c r="O224" t="n">
        <v>100</v>
      </c>
      <c r="P224" t="n">
        <v>2.63</v>
      </c>
    </row>
    <row r="225">
      <c r="A225" t="n">
        <v>826463</v>
      </c>
      <c r="B225" t="inlineStr">
        <is>
          <t>06-05-2026</t>
        </is>
      </c>
      <c r="C225" t="inlineStr">
        <is>
          <t>S123</t>
        </is>
      </c>
      <c r="D225" t="inlineStr">
        <is>
          <t>SKIDDER</t>
        </is>
      </c>
      <c r="E225" t="inlineStr">
        <is>
          <t>EL CABRITO CBB</t>
        </is>
      </c>
      <c r="F225" t="inlineStr">
        <is>
          <t>PIRA</t>
        </is>
      </c>
      <c r="G225" t="n">
        <v>540</v>
      </c>
      <c r="H225" t="n">
        <v>0</v>
      </c>
      <c r="I225" t="n">
        <v>7.5</v>
      </c>
      <c r="J225" t="n">
        <v>39</v>
      </c>
      <c r="K225" t="n">
        <v>0</v>
      </c>
      <c r="L225" t="n">
        <v>0</v>
      </c>
      <c r="M225" t="n">
        <v>0</v>
      </c>
      <c r="N225" t="n">
        <v>60</v>
      </c>
      <c r="O225" t="n">
        <v>100</v>
      </c>
      <c r="P225" t="n">
        <v>0</v>
      </c>
    </row>
    <row r="226">
      <c r="A226" t="n">
        <v>826464</v>
      </c>
      <c r="B226" t="inlineStr">
        <is>
          <t>06-05-2026</t>
        </is>
      </c>
      <c r="C226" t="inlineStr">
        <is>
          <t>S123</t>
        </is>
      </c>
      <c r="D226" t="inlineStr">
        <is>
          <t>SKIDDER</t>
        </is>
      </c>
      <c r="E226" t="inlineStr">
        <is>
          <t>EL CABRITO CBB</t>
        </is>
      </c>
      <c r="F226" t="inlineStr">
        <is>
          <t>PIRA</t>
        </is>
      </c>
      <c r="G226" t="n">
        <v>180</v>
      </c>
      <c r="H226" t="n">
        <v>0</v>
      </c>
      <c r="I226" t="n">
        <v>2</v>
      </c>
      <c r="J226" t="n">
        <v>19</v>
      </c>
      <c r="K226" t="n">
        <v>0</v>
      </c>
      <c r="L226" t="n">
        <v>22.34</v>
      </c>
      <c r="M226" t="n">
        <v>0</v>
      </c>
      <c r="N226" t="n">
        <v>30</v>
      </c>
      <c r="O226" t="n">
        <v>100</v>
      </c>
      <c r="P226" t="n">
        <v>11.17</v>
      </c>
    </row>
    <row r="227">
      <c r="A227" t="n">
        <v>826464</v>
      </c>
      <c r="B227" t="inlineStr">
        <is>
          <t>06-05-2026</t>
        </is>
      </c>
      <c r="C227" t="inlineStr">
        <is>
          <t>S123</t>
        </is>
      </c>
      <c r="D227" t="inlineStr">
        <is>
          <t>SKIDDER</t>
        </is>
      </c>
      <c r="E227" t="inlineStr">
        <is>
          <t>EL CABRITO CBB</t>
        </is>
      </c>
      <c r="F227" t="inlineStr">
        <is>
          <t>PIRA</t>
        </is>
      </c>
      <c r="G227" t="n">
        <v>180</v>
      </c>
      <c r="H227" t="n">
        <v>0</v>
      </c>
      <c r="I227" t="n">
        <v>2</v>
      </c>
      <c r="J227" t="n">
        <v>19</v>
      </c>
      <c r="K227" t="n">
        <v>0</v>
      </c>
      <c r="L227" t="n">
        <v>56.6</v>
      </c>
      <c r="M227" t="n">
        <v>0</v>
      </c>
      <c r="N227" t="n">
        <v>30</v>
      </c>
      <c r="O227" t="n">
        <v>100</v>
      </c>
      <c r="P227" t="n">
        <v>28.3</v>
      </c>
    </row>
    <row r="228">
      <c r="A228" t="n">
        <v>826494</v>
      </c>
      <c r="B228" t="inlineStr">
        <is>
          <t>06-05-2026</t>
        </is>
      </c>
      <c r="C228" t="inlineStr">
        <is>
          <t>T125</t>
        </is>
      </c>
      <c r="D228" t="inlineStr">
        <is>
          <t>TORRE500</t>
        </is>
      </c>
      <c r="E228" t="inlineStr">
        <is>
          <t>POLHUIN</t>
        </is>
      </c>
      <c r="F228" t="inlineStr">
        <is>
          <t>EUGL</t>
        </is>
      </c>
      <c r="G228" t="n">
        <v>720</v>
      </c>
      <c r="H228" t="n">
        <v>0</v>
      </c>
      <c r="I228" t="n">
        <v>11</v>
      </c>
      <c r="J228" t="n">
        <v>142</v>
      </c>
      <c r="K228" t="n">
        <v>0</v>
      </c>
      <c r="L228" t="n">
        <v>281.14</v>
      </c>
      <c r="M228" t="n">
        <v>0</v>
      </c>
      <c r="N228" t="n">
        <v>0</v>
      </c>
      <c r="O228" t="n">
        <v>100</v>
      </c>
      <c r="P228" t="n">
        <v>25.56</v>
      </c>
    </row>
    <row r="229">
      <c r="A229" t="n">
        <v>826503</v>
      </c>
      <c r="B229" t="inlineStr">
        <is>
          <t>06-05-2026</t>
        </is>
      </c>
      <c r="C229" t="inlineStr">
        <is>
          <t>S58</t>
        </is>
      </c>
      <c r="D229" t="inlineStr">
        <is>
          <t>SKIDDER</t>
        </is>
      </c>
      <c r="E229" t="inlineStr">
        <is>
          <t>COIHUECO Y OTROS (BB)</t>
        </is>
      </c>
      <c r="F229" t="inlineStr">
        <is>
          <t>PIRA</t>
        </is>
      </c>
      <c r="G229" t="n">
        <v>600</v>
      </c>
      <c r="H229" t="n">
        <v>0</v>
      </c>
      <c r="I229" t="n">
        <v>7</v>
      </c>
      <c r="J229" t="n">
        <v>36</v>
      </c>
      <c r="K229" t="n">
        <v>0</v>
      </c>
      <c r="L229" t="n">
        <v>4.31</v>
      </c>
      <c r="M229" t="n">
        <v>0</v>
      </c>
      <c r="N229" t="n">
        <v>120</v>
      </c>
      <c r="O229" t="n">
        <v>100</v>
      </c>
      <c r="P229" t="n">
        <v>0.62</v>
      </c>
    </row>
    <row r="230">
      <c r="A230" t="n">
        <v>826503</v>
      </c>
      <c r="B230" t="inlineStr">
        <is>
          <t>06-05-2026</t>
        </is>
      </c>
      <c r="C230" t="inlineStr">
        <is>
          <t>S58</t>
        </is>
      </c>
      <c r="D230" t="inlineStr">
        <is>
          <t>SKIDDER</t>
        </is>
      </c>
      <c r="E230" t="inlineStr">
        <is>
          <t>COIHUECO Y OTROS (BB)</t>
        </is>
      </c>
      <c r="F230" t="inlineStr">
        <is>
          <t>PIRA</t>
        </is>
      </c>
      <c r="G230" t="n">
        <v>600</v>
      </c>
      <c r="H230" t="n">
        <v>0</v>
      </c>
      <c r="I230" t="n">
        <v>7</v>
      </c>
      <c r="J230" t="n">
        <v>36</v>
      </c>
      <c r="K230" t="n">
        <v>0</v>
      </c>
      <c r="L230" t="n">
        <v>67.03</v>
      </c>
      <c r="M230" t="n">
        <v>0</v>
      </c>
      <c r="N230" t="n">
        <v>120</v>
      </c>
      <c r="O230" t="n">
        <v>100</v>
      </c>
      <c r="P230" t="n">
        <v>9.58</v>
      </c>
    </row>
    <row r="231">
      <c r="A231" t="n">
        <v>826503</v>
      </c>
      <c r="B231" t="inlineStr">
        <is>
          <t>06-05-2026</t>
        </is>
      </c>
      <c r="C231" t="inlineStr">
        <is>
          <t>S58</t>
        </is>
      </c>
      <c r="D231" t="inlineStr">
        <is>
          <t>SKIDDER</t>
        </is>
      </c>
      <c r="E231" t="inlineStr">
        <is>
          <t>COIHUECO Y OTROS (BB)</t>
        </is>
      </c>
      <c r="F231" t="inlineStr">
        <is>
          <t>PIRA</t>
        </is>
      </c>
      <c r="G231" t="n">
        <v>600</v>
      </c>
      <c r="H231" t="n">
        <v>0</v>
      </c>
      <c r="I231" t="n">
        <v>7</v>
      </c>
      <c r="J231" t="n">
        <v>36</v>
      </c>
      <c r="K231" t="n">
        <v>0</v>
      </c>
      <c r="L231" t="n">
        <v>0</v>
      </c>
      <c r="M231" t="n">
        <v>0</v>
      </c>
      <c r="N231" t="n">
        <v>120</v>
      </c>
      <c r="O231" t="n">
        <v>100</v>
      </c>
      <c r="P231" t="n">
        <v>0</v>
      </c>
    </row>
    <row r="232">
      <c r="A232" t="n">
        <v>826503</v>
      </c>
      <c r="B232" t="inlineStr">
        <is>
          <t>06-05-2026</t>
        </is>
      </c>
      <c r="C232" t="inlineStr">
        <is>
          <t>S58</t>
        </is>
      </c>
      <c r="D232" t="inlineStr">
        <is>
          <t>SKIDDER</t>
        </is>
      </c>
      <c r="E232" t="inlineStr">
        <is>
          <t>COIHUECO Y OTROS (BB)</t>
        </is>
      </c>
      <c r="F232" t="inlineStr">
        <is>
          <t>PIRA</t>
        </is>
      </c>
      <c r="G232" t="n">
        <v>600</v>
      </c>
      <c r="H232" t="n">
        <v>0</v>
      </c>
      <c r="I232" t="n">
        <v>7</v>
      </c>
      <c r="J232" t="n">
        <v>36</v>
      </c>
      <c r="K232" t="n">
        <v>0</v>
      </c>
      <c r="L232" t="n">
        <v>11.7</v>
      </c>
      <c r="M232" t="n">
        <v>0</v>
      </c>
      <c r="N232" t="n">
        <v>120</v>
      </c>
      <c r="O232" t="n">
        <v>100</v>
      </c>
      <c r="P232" t="n">
        <v>1.67</v>
      </c>
    </row>
    <row r="233">
      <c r="A233" t="n">
        <v>826503</v>
      </c>
      <c r="B233" t="inlineStr">
        <is>
          <t>06-05-2026</t>
        </is>
      </c>
      <c r="C233" t="inlineStr">
        <is>
          <t>S58</t>
        </is>
      </c>
      <c r="D233" t="inlineStr">
        <is>
          <t>SKIDDER</t>
        </is>
      </c>
      <c r="E233" t="inlineStr">
        <is>
          <t>COIHUECO Y OTROS (BB)</t>
        </is>
      </c>
      <c r="F233" t="inlineStr">
        <is>
          <t>PIRA</t>
        </is>
      </c>
      <c r="G233" t="n">
        <v>600</v>
      </c>
      <c r="H233" t="n">
        <v>0</v>
      </c>
      <c r="I233" t="n">
        <v>7</v>
      </c>
      <c r="J233" t="n">
        <v>36</v>
      </c>
      <c r="K233" t="n">
        <v>0</v>
      </c>
      <c r="L233" t="n">
        <v>0</v>
      </c>
      <c r="M233" t="n">
        <v>0</v>
      </c>
      <c r="N233" t="n">
        <v>120</v>
      </c>
      <c r="O233" t="n">
        <v>100</v>
      </c>
      <c r="P233" t="n">
        <v>0</v>
      </c>
    </row>
    <row r="234">
      <c r="A234" t="n">
        <v>826503</v>
      </c>
      <c r="B234" t="inlineStr">
        <is>
          <t>06-05-2026</t>
        </is>
      </c>
      <c r="C234" t="inlineStr">
        <is>
          <t>S58</t>
        </is>
      </c>
      <c r="D234" t="inlineStr">
        <is>
          <t>SKIDDER</t>
        </is>
      </c>
      <c r="E234" t="inlineStr">
        <is>
          <t>COIHUECO Y OTROS (BB)</t>
        </is>
      </c>
      <c r="F234" t="inlineStr">
        <is>
          <t>PIRA</t>
        </is>
      </c>
      <c r="G234" t="n">
        <v>600</v>
      </c>
      <c r="H234" t="n">
        <v>0</v>
      </c>
      <c r="I234" t="n">
        <v>7</v>
      </c>
      <c r="J234" t="n">
        <v>36</v>
      </c>
      <c r="K234" t="n">
        <v>0</v>
      </c>
      <c r="L234" t="n">
        <v>0</v>
      </c>
      <c r="M234" t="n">
        <v>0</v>
      </c>
      <c r="N234" t="n">
        <v>120</v>
      </c>
      <c r="O234" t="n">
        <v>100</v>
      </c>
      <c r="P234" t="n">
        <v>0</v>
      </c>
    </row>
    <row r="235">
      <c r="A235" t="n">
        <v>826503</v>
      </c>
      <c r="B235" t="inlineStr">
        <is>
          <t>06-05-2026</t>
        </is>
      </c>
      <c r="C235" t="inlineStr">
        <is>
          <t>S58</t>
        </is>
      </c>
      <c r="D235" t="inlineStr">
        <is>
          <t>SKIDDER</t>
        </is>
      </c>
      <c r="E235" t="inlineStr">
        <is>
          <t>COIHUECO Y OTROS (BB)</t>
        </is>
      </c>
      <c r="F235" t="inlineStr">
        <is>
          <t>PIRA</t>
        </is>
      </c>
      <c r="G235" t="n">
        <v>600</v>
      </c>
      <c r="H235" t="n">
        <v>0</v>
      </c>
      <c r="I235" t="n">
        <v>7</v>
      </c>
      <c r="J235" t="n">
        <v>36</v>
      </c>
      <c r="K235" t="n">
        <v>0</v>
      </c>
      <c r="L235" t="n">
        <v>7.32</v>
      </c>
      <c r="M235" t="n">
        <v>0</v>
      </c>
      <c r="N235" t="n">
        <v>120</v>
      </c>
      <c r="O235" t="n">
        <v>100</v>
      </c>
      <c r="P235" t="n">
        <v>1.05</v>
      </c>
    </row>
    <row r="236">
      <c r="A236" t="n">
        <v>826503</v>
      </c>
      <c r="B236" t="inlineStr">
        <is>
          <t>06-05-2026</t>
        </is>
      </c>
      <c r="C236" t="inlineStr">
        <is>
          <t>S58</t>
        </is>
      </c>
      <c r="D236" t="inlineStr">
        <is>
          <t>SKIDDER</t>
        </is>
      </c>
      <c r="E236" t="inlineStr">
        <is>
          <t>COIHUECO Y OTROS (BB)</t>
        </is>
      </c>
      <c r="F236" t="inlineStr">
        <is>
          <t>PIRA</t>
        </is>
      </c>
      <c r="G236" t="n">
        <v>600</v>
      </c>
      <c r="H236" t="n">
        <v>0</v>
      </c>
      <c r="I236" t="n">
        <v>7</v>
      </c>
      <c r="J236" t="n">
        <v>36</v>
      </c>
      <c r="K236" t="n">
        <v>0</v>
      </c>
      <c r="L236" t="n">
        <v>2.1</v>
      </c>
      <c r="M236" t="n">
        <v>0</v>
      </c>
      <c r="N236" t="n">
        <v>120</v>
      </c>
      <c r="O236" t="n">
        <v>100</v>
      </c>
      <c r="P236" t="n">
        <v>0.3</v>
      </c>
    </row>
    <row r="237">
      <c r="A237" t="n">
        <v>826503</v>
      </c>
      <c r="B237" t="inlineStr">
        <is>
          <t>06-05-2026</t>
        </is>
      </c>
      <c r="C237" t="inlineStr">
        <is>
          <t>S58</t>
        </is>
      </c>
      <c r="D237" t="inlineStr">
        <is>
          <t>SKIDDER</t>
        </is>
      </c>
      <c r="E237" t="inlineStr">
        <is>
          <t>COIHUECO Y OTROS (BB)</t>
        </is>
      </c>
      <c r="F237" t="inlineStr">
        <is>
          <t>PIRA</t>
        </is>
      </c>
      <c r="G237" t="n">
        <v>600</v>
      </c>
      <c r="H237" t="n">
        <v>0</v>
      </c>
      <c r="I237" t="n">
        <v>7</v>
      </c>
      <c r="J237" t="n">
        <v>36</v>
      </c>
      <c r="K237" t="n">
        <v>0</v>
      </c>
      <c r="L237" t="n">
        <v>23.02</v>
      </c>
      <c r="M237" t="n">
        <v>0</v>
      </c>
      <c r="N237" t="n">
        <v>120</v>
      </c>
      <c r="O237" t="n">
        <v>100</v>
      </c>
      <c r="P237" t="n">
        <v>3.29</v>
      </c>
    </row>
    <row r="238">
      <c r="A238" t="n">
        <v>826503</v>
      </c>
      <c r="B238" t="inlineStr">
        <is>
          <t>06-05-2026</t>
        </is>
      </c>
      <c r="C238" t="inlineStr">
        <is>
          <t>S58</t>
        </is>
      </c>
      <c r="D238" t="inlineStr">
        <is>
          <t>SKIDDER</t>
        </is>
      </c>
      <c r="E238" t="inlineStr">
        <is>
          <t>COIHUECO Y OTROS (BB)</t>
        </is>
      </c>
      <c r="F238" t="inlineStr">
        <is>
          <t>PIRA</t>
        </is>
      </c>
      <c r="G238" t="n">
        <v>600</v>
      </c>
      <c r="H238" t="n">
        <v>0</v>
      </c>
      <c r="I238" t="n">
        <v>7</v>
      </c>
      <c r="J238" t="n">
        <v>36</v>
      </c>
      <c r="K238" t="n">
        <v>0</v>
      </c>
      <c r="L238" t="n">
        <v>0</v>
      </c>
      <c r="M238" t="n">
        <v>0</v>
      </c>
      <c r="N238" t="n">
        <v>120</v>
      </c>
      <c r="O238" t="n">
        <v>100</v>
      </c>
      <c r="P238" t="n">
        <v>0</v>
      </c>
    </row>
    <row r="239">
      <c r="A239" t="n">
        <v>826506</v>
      </c>
      <c r="B239" t="inlineStr">
        <is>
          <t>06-05-2026</t>
        </is>
      </c>
      <c r="C239" t="inlineStr">
        <is>
          <t>S58</t>
        </is>
      </c>
      <c r="D239" t="inlineStr">
        <is>
          <t>SKIDDER</t>
        </is>
      </c>
      <c r="E239" t="inlineStr">
        <is>
          <t>COIHUECO Y OTROS (BB)</t>
        </is>
      </c>
      <c r="F239" t="inlineStr">
        <is>
          <t>PIRA</t>
        </is>
      </c>
      <c r="G239" t="n">
        <v>120</v>
      </c>
      <c r="H239" t="n">
        <v>0</v>
      </c>
      <c r="I239" t="n">
        <v>2</v>
      </c>
      <c r="J239" t="n">
        <v>9</v>
      </c>
      <c r="K239" t="n">
        <v>0</v>
      </c>
      <c r="L239" t="n">
        <v>6.54</v>
      </c>
      <c r="M239" t="n">
        <v>0</v>
      </c>
      <c r="N239" t="n">
        <v>0</v>
      </c>
      <c r="O239" t="n">
        <v>100</v>
      </c>
      <c r="P239" t="n">
        <v>3.27</v>
      </c>
    </row>
    <row r="240">
      <c r="A240" t="n">
        <v>826506</v>
      </c>
      <c r="B240" t="inlineStr">
        <is>
          <t>06-05-2026</t>
        </is>
      </c>
      <c r="C240" t="inlineStr">
        <is>
          <t>S58</t>
        </is>
      </c>
      <c r="D240" t="inlineStr">
        <is>
          <t>SKIDDER</t>
        </is>
      </c>
      <c r="E240" t="inlineStr">
        <is>
          <t>COIHUECO Y OTROS (BB)</t>
        </is>
      </c>
      <c r="F240" t="inlineStr">
        <is>
          <t>PIRA</t>
        </is>
      </c>
      <c r="G240" t="n">
        <v>120</v>
      </c>
      <c r="H240" t="n">
        <v>0</v>
      </c>
      <c r="I240" t="n">
        <v>2</v>
      </c>
      <c r="J240" t="n">
        <v>9</v>
      </c>
      <c r="K240" t="n">
        <v>0</v>
      </c>
      <c r="L240" t="n">
        <v>28.06</v>
      </c>
      <c r="M240" t="n">
        <v>0</v>
      </c>
      <c r="N240" t="n">
        <v>0</v>
      </c>
      <c r="O240" t="n">
        <v>100</v>
      </c>
      <c r="P240" t="n">
        <v>14.03</v>
      </c>
    </row>
    <row r="241">
      <c r="A241" t="n">
        <v>826506</v>
      </c>
      <c r="B241" t="inlineStr">
        <is>
          <t>06-05-2026</t>
        </is>
      </c>
      <c r="C241" t="inlineStr">
        <is>
          <t>S58</t>
        </is>
      </c>
      <c r="D241" t="inlineStr">
        <is>
          <t>SKIDDER</t>
        </is>
      </c>
      <c r="E241" t="inlineStr">
        <is>
          <t>COIHUECO Y OTROS (BB)</t>
        </is>
      </c>
      <c r="F241" t="inlineStr">
        <is>
          <t>PIRA</t>
        </is>
      </c>
      <c r="G241" t="n">
        <v>120</v>
      </c>
      <c r="H241" t="n">
        <v>0</v>
      </c>
      <c r="I241" t="n">
        <v>2</v>
      </c>
      <c r="J241" t="n">
        <v>9</v>
      </c>
      <c r="K241" t="n">
        <v>0</v>
      </c>
      <c r="L241" t="n">
        <v>12.14</v>
      </c>
      <c r="M241" t="n">
        <v>0</v>
      </c>
      <c r="N241" t="n">
        <v>0</v>
      </c>
      <c r="O241" t="n">
        <v>100</v>
      </c>
      <c r="P241" t="n">
        <v>6.07</v>
      </c>
    </row>
    <row r="242">
      <c r="A242" t="n">
        <v>826509</v>
      </c>
      <c r="B242" t="inlineStr">
        <is>
          <t>06-05-2026</t>
        </is>
      </c>
      <c r="C242" t="inlineStr">
        <is>
          <t>TEA02</t>
        </is>
      </c>
      <c r="D242" t="inlineStr">
        <is>
          <t>FORWINCH</t>
        </is>
      </c>
      <c r="E242" t="inlineStr">
        <is>
          <t>COIHUECO Y OTROS (BB)</t>
        </is>
      </c>
      <c r="F242" t="inlineStr">
        <is>
          <t>PIRA</t>
        </is>
      </c>
      <c r="G242" t="n">
        <v>720</v>
      </c>
      <c r="H242" t="n">
        <v>0</v>
      </c>
      <c r="I242" t="n">
        <v>10.5</v>
      </c>
      <c r="J242" t="n">
        <v>33</v>
      </c>
      <c r="K242" t="n">
        <v>0</v>
      </c>
      <c r="L242" t="n">
        <v>25.23</v>
      </c>
      <c r="M242" t="n">
        <v>0</v>
      </c>
      <c r="N242" t="n">
        <v>30</v>
      </c>
      <c r="O242" t="n">
        <v>100</v>
      </c>
      <c r="P242" t="n">
        <v>2.4</v>
      </c>
    </row>
    <row r="243">
      <c r="A243" t="n">
        <v>826509</v>
      </c>
      <c r="B243" t="inlineStr">
        <is>
          <t>06-05-2026</t>
        </is>
      </c>
      <c r="C243" t="inlineStr">
        <is>
          <t>TEA02</t>
        </is>
      </c>
      <c r="D243" t="inlineStr">
        <is>
          <t>FORWINCH</t>
        </is>
      </c>
      <c r="E243" t="inlineStr">
        <is>
          <t>COIHUECO Y OTROS (BB)</t>
        </is>
      </c>
      <c r="F243" t="inlineStr">
        <is>
          <t>PIRA</t>
        </is>
      </c>
      <c r="G243" t="n">
        <v>720</v>
      </c>
      <c r="H243" t="n">
        <v>0</v>
      </c>
      <c r="I243" t="n">
        <v>10.5</v>
      </c>
      <c r="J243" t="n">
        <v>33</v>
      </c>
      <c r="K243" t="n">
        <v>0</v>
      </c>
      <c r="L243" t="n">
        <v>20.18</v>
      </c>
      <c r="M243" t="n">
        <v>0</v>
      </c>
      <c r="N243" t="n">
        <v>30</v>
      </c>
      <c r="O243" t="n">
        <v>100</v>
      </c>
      <c r="P243" t="n">
        <v>1.92</v>
      </c>
    </row>
    <row r="244">
      <c r="A244" t="n">
        <v>826509</v>
      </c>
      <c r="B244" t="inlineStr">
        <is>
          <t>06-05-2026</t>
        </is>
      </c>
      <c r="C244" t="inlineStr">
        <is>
          <t>TEA02</t>
        </is>
      </c>
      <c r="D244" t="inlineStr">
        <is>
          <t>FORWINCH</t>
        </is>
      </c>
      <c r="E244" t="inlineStr">
        <is>
          <t>COIHUECO Y OTROS (BB)</t>
        </is>
      </c>
      <c r="F244" t="inlineStr">
        <is>
          <t>PIRA</t>
        </is>
      </c>
      <c r="G244" t="n">
        <v>720</v>
      </c>
      <c r="H244" t="n">
        <v>0</v>
      </c>
      <c r="I244" t="n">
        <v>10.5</v>
      </c>
      <c r="J244" t="n">
        <v>33</v>
      </c>
      <c r="K244" t="n">
        <v>0</v>
      </c>
      <c r="L244" t="n">
        <v>39.9</v>
      </c>
      <c r="M244" t="n">
        <v>0</v>
      </c>
      <c r="N244" t="n">
        <v>30</v>
      </c>
      <c r="O244" t="n">
        <v>100</v>
      </c>
      <c r="P244" t="n">
        <v>3.8</v>
      </c>
    </row>
    <row r="245">
      <c r="A245" t="n">
        <v>826509</v>
      </c>
      <c r="B245" t="inlineStr">
        <is>
          <t>06-05-2026</t>
        </is>
      </c>
      <c r="C245" t="inlineStr">
        <is>
          <t>TEA02</t>
        </is>
      </c>
      <c r="D245" t="inlineStr">
        <is>
          <t>FORWINCH</t>
        </is>
      </c>
      <c r="E245" t="inlineStr">
        <is>
          <t>COIHUECO Y OTROS (BB)</t>
        </is>
      </c>
      <c r="F245" t="inlineStr">
        <is>
          <t>PIRA</t>
        </is>
      </c>
      <c r="G245" t="n">
        <v>720</v>
      </c>
      <c r="H245" t="n">
        <v>0</v>
      </c>
      <c r="I245" t="n">
        <v>10.5</v>
      </c>
      <c r="J245" t="n">
        <v>33</v>
      </c>
      <c r="K245" t="n">
        <v>0</v>
      </c>
      <c r="L245" t="n">
        <v>4.1</v>
      </c>
      <c r="M245" t="n">
        <v>0</v>
      </c>
      <c r="N245" t="n">
        <v>30</v>
      </c>
      <c r="O245" t="n">
        <v>100</v>
      </c>
      <c r="P245" t="n">
        <v>0.39</v>
      </c>
    </row>
    <row r="246">
      <c r="A246" t="n">
        <v>826509</v>
      </c>
      <c r="B246" t="inlineStr">
        <is>
          <t>06-05-2026</t>
        </is>
      </c>
      <c r="C246" t="inlineStr">
        <is>
          <t>TEA02</t>
        </is>
      </c>
      <c r="D246" t="inlineStr">
        <is>
          <t>FORWINCH</t>
        </is>
      </c>
      <c r="E246" t="inlineStr">
        <is>
          <t>COIHUECO Y OTROS (BB)</t>
        </is>
      </c>
      <c r="F246" t="inlineStr">
        <is>
          <t>PIRA</t>
        </is>
      </c>
      <c r="G246" t="n">
        <v>720</v>
      </c>
      <c r="H246" t="n">
        <v>0</v>
      </c>
      <c r="I246" t="n">
        <v>10.5</v>
      </c>
      <c r="J246" t="n">
        <v>33</v>
      </c>
      <c r="K246" t="n">
        <v>0</v>
      </c>
      <c r="L246" t="n">
        <v>37.94</v>
      </c>
      <c r="M246" t="n">
        <v>0</v>
      </c>
      <c r="N246" t="n">
        <v>30</v>
      </c>
      <c r="O246" t="n">
        <v>100</v>
      </c>
      <c r="P246" t="n">
        <v>3.61</v>
      </c>
    </row>
    <row r="247">
      <c r="A247" t="n">
        <v>826525</v>
      </c>
      <c r="B247" t="inlineStr">
        <is>
          <t>06-05-2026</t>
        </is>
      </c>
      <c r="C247" t="inlineStr">
        <is>
          <t>S223</t>
        </is>
      </c>
      <c r="D247" t="inlineStr">
        <is>
          <t>SKIDDER</t>
        </is>
      </c>
      <c r="E247" t="inlineStr">
        <is>
          <t>LAS ULLOAS (BB)</t>
        </is>
      </c>
      <c r="F247" t="inlineStr">
        <is>
          <t>PIRA</t>
        </is>
      </c>
      <c r="G247" t="n">
        <v>720</v>
      </c>
      <c r="H247" t="n">
        <v>0</v>
      </c>
      <c r="I247" t="n">
        <v>3</v>
      </c>
      <c r="J247" t="n">
        <v>20</v>
      </c>
      <c r="K247" t="n">
        <v>0</v>
      </c>
      <c r="L247" t="n">
        <v>0</v>
      </c>
      <c r="M247" t="n">
        <v>0</v>
      </c>
      <c r="N247" t="n">
        <v>480</v>
      </c>
      <c r="O247" t="n">
        <v>100</v>
      </c>
      <c r="P247" t="n">
        <v>0</v>
      </c>
    </row>
    <row r="248">
      <c r="A248" t="n">
        <v>826525</v>
      </c>
      <c r="B248" t="inlineStr">
        <is>
          <t>06-05-2026</t>
        </is>
      </c>
      <c r="C248" t="inlineStr">
        <is>
          <t>S223</t>
        </is>
      </c>
      <c r="D248" t="inlineStr">
        <is>
          <t>SKIDDER</t>
        </is>
      </c>
      <c r="E248" t="inlineStr">
        <is>
          <t>LAS ULLOAS (BB)</t>
        </is>
      </c>
      <c r="F248" t="inlineStr">
        <is>
          <t>PIRA</t>
        </is>
      </c>
      <c r="G248" t="n">
        <v>720</v>
      </c>
      <c r="H248" t="n">
        <v>0</v>
      </c>
      <c r="I248" t="n">
        <v>3</v>
      </c>
      <c r="J248" t="n">
        <v>20</v>
      </c>
      <c r="K248" t="n">
        <v>0</v>
      </c>
      <c r="L248" t="n">
        <v>1.36</v>
      </c>
      <c r="M248" t="n">
        <v>0</v>
      </c>
      <c r="N248" t="n">
        <v>480</v>
      </c>
      <c r="O248" t="n">
        <v>100</v>
      </c>
      <c r="P248" t="n">
        <v>0.45</v>
      </c>
    </row>
    <row r="249">
      <c r="A249" t="n">
        <v>826525</v>
      </c>
      <c r="B249" t="inlineStr">
        <is>
          <t>06-05-2026</t>
        </is>
      </c>
      <c r="C249" t="inlineStr">
        <is>
          <t>S223</t>
        </is>
      </c>
      <c r="D249" t="inlineStr">
        <is>
          <t>SKIDDER</t>
        </is>
      </c>
      <c r="E249" t="inlineStr">
        <is>
          <t>LAS ULLOAS (BB)</t>
        </is>
      </c>
      <c r="F249" t="inlineStr">
        <is>
          <t>PIRA</t>
        </is>
      </c>
      <c r="G249" t="n">
        <v>720</v>
      </c>
      <c r="H249" t="n">
        <v>0</v>
      </c>
      <c r="I249" t="n">
        <v>3</v>
      </c>
      <c r="J249" t="n">
        <v>20</v>
      </c>
      <c r="K249" t="n">
        <v>0</v>
      </c>
      <c r="L249" t="n">
        <v>4.8</v>
      </c>
      <c r="M249" t="n">
        <v>0</v>
      </c>
      <c r="N249" t="n">
        <v>480</v>
      </c>
      <c r="O249" t="n">
        <v>100</v>
      </c>
      <c r="P249" t="n">
        <v>1.6</v>
      </c>
    </row>
    <row r="250">
      <c r="A250" t="n">
        <v>826525</v>
      </c>
      <c r="B250" t="inlineStr">
        <is>
          <t>06-05-2026</t>
        </is>
      </c>
      <c r="C250" t="inlineStr">
        <is>
          <t>S223</t>
        </is>
      </c>
      <c r="D250" t="inlineStr">
        <is>
          <t>SKIDDER</t>
        </is>
      </c>
      <c r="E250" t="inlineStr">
        <is>
          <t>LAS ULLOAS (BB)</t>
        </is>
      </c>
      <c r="F250" t="inlineStr">
        <is>
          <t>PIRA</t>
        </is>
      </c>
      <c r="G250" t="n">
        <v>720</v>
      </c>
      <c r="H250" t="n">
        <v>0</v>
      </c>
      <c r="I250" t="n">
        <v>3</v>
      </c>
      <c r="J250" t="n">
        <v>20</v>
      </c>
      <c r="K250" t="n">
        <v>0</v>
      </c>
      <c r="L250" t="n">
        <v>12.24</v>
      </c>
      <c r="M250" t="n">
        <v>0</v>
      </c>
      <c r="N250" t="n">
        <v>480</v>
      </c>
      <c r="O250" t="n">
        <v>100</v>
      </c>
      <c r="P250" t="n">
        <v>4.08</v>
      </c>
    </row>
    <row r="251">
      <c r="A251" t="n">
        <v>826525</v>
      </c>
      <c r="B251" t="inlineStr">
        <is>
          <t>06-05-2026</t>
        </is>
      </c>
      <c r="C251" t="inlineStr">
        <is>
          <t>S223</t>
        </is>
      </c>
      <c r="D251" t="inlineStr">
        <is>
          <t>SKIDDER</t>
        </is>
      </c>
      <c r="E251" t="inlineStr">
        <is>
          <t>LAS ULLOAS (BB)</t>
        </is>
      </c>
      <c r="F251" t="inlineStr">
        <is>
          <t>PIRA</t>
        </is>
      </c>
      <c r="G251" t="n">
        <v>720</v>
      </c>
      <c r="H251" t="n">
        <v>0</v>
      </c>
      <c r="I251" t="n">
        <v>3</v>
      </c>
      <c r="J251" t="n">
        <v>20</v>
      </c>
      <c r="K251" t="n">
        <v>0</v>
      </c>
      <c r="L251" t="n">
        <v>4.9</v>
      </c>
      <c r="M251" t="n">
        <v>0</v>
      </c>
      <c r="N251" t="n">
        <v>480</v>
      </c>
      <c r="O251" t="n">
        <v>100</v>
      </c>
      <c r="P251" t="n">
        <v>1.63</v>
      </c>
    </row>
    <row r="252">
      <c r="A252" t="n">
        <v>826525</v>
      </c>
      <c r="B252" t="inlineStr">
        <is>
          <t>06-05-2026</t>
        </is>
      </c>
      <c r="C252" t="inlineStr">
        <is>
          <t>S223</t>
        </is>
      </c>
      <c r="D252" t="inlineStr">
        <is>
          <t>SKIDDER</t>
        </is>
      </c>
      <c r="E252" t="inlineStr">
        <is>
          <t>LAS ULLOAS (BB)</t>
        </is>
      </c>
      <c r="F252" t="inlineStr">
        <is>
          <t>PIRA</t>
        </is>
      </c>
      <c r="G252" t="n">
        <v>720</v>
      </c>
      <c r="H252" t="n">
        <v>0</v>
      </c>
      <c r="I252" t="n">
        <v>3</v>
      </c>
      <c r="J252" t="n">
        <v>20</v>
      </c>
      <c r="K252" t="n">
        <v>0</v>
      </c>
      <c r="L252" t="n">
        <v>0</v>
      </c>
      <c r="M252" t="n">
        <v>0</v>
      </c>
      <c r="N252" t="n">
        <v>480</v>
      </c>
      <c r="O252" t="n">
        <v>100</v>
      </c>
      <c r="P252" t="n">
        <v>0</v>
      </c>
    </row>
    <row r="253">
      <c r="A253" t="n">
        <v>826536</v>
      </c>
      <c r="B253" t="inlineStr">
        <is>
          <t>06-05-2026</t>
        </is>
      </c>
      <c r="C253" t="inlineStr">
        <is>
          <t>TEA08</t>
        </is>
      </c>
      <c r="D253" t="inlineStr">
        <is>
          <t>FORWINCH</t>
        </is>
      </c>
      <c r="E253" t="inlineStr">
        <is>
          <t>COIHUECO Y OTROS (BB)</t>
        </is>
      </c>
      <c r="F253" t="inlineStr">
        <is>
          <t>PIRA</t>
        </is>
      </c>
      <c r="G253" t="n">
        <v>720</v>
      </c>
      <c r="H253" t="n">
        <v>0</v>
      </c>
      <c r="I253" t="n">
        <v>0.5</v>
      </c>
      <c r="J253" t="n">
        <v>2</v>
      </c>
      <c r="K253" t="n">
        <v>0</v>
      </c>
      <c r="L253" t="n">
        <v>0</v>
      </c>
      <c r="M253" t="n">
        <v>630</v>
      </c>
      <c r="N253" t="n">
        <v>630</v>
      </c>
      <c r="O253" t="n">
        <v>98.5</v>
      </c>
      <c r="P253" t="n">
        <v>0</v>
      </c>
    </row>
    <row r="254">
      <c r="A254" t="n">
        <v>826571</v>
      </c>
      <c r="B254" t="inlineStr">
        <is>
          <t>07-05-2026</t>
        </is>
      </c>
      <c r="C254" t="inlineStr">
        <is>
          <t>S246</t>
        </is>
      </c>
      <c r="D254" t="inlineStr">
        <is>
          <t>SKIDDER</t>
        </is>
      </c>
      <c r="E254" t="inlineStr">
        <is>
          <t>COIHUECO Y OTROS (BB)</t>
        </is>
      </c>
      <c r="F254" t="inlineStr">
        <is>
          <t>PIRA</t>
        </is>
      </c>
      <c r="G254" t="n">
        <v>720</v>
      </c>
      <c r="H254" t="n">
        <v>0</v>
      </c>
      <c r="I254" t="n">
        <v>10.5</v>
      </c>
      <c r="J254" t="n">
        <v>33</v>
      </c>
      <c r="K254" t="n">
        <v>0</v>
      </c>
      <c r="L254" t="n">
        <v>0</v>
      </c>
      <c r="M254" t="n">
        <v>30</v>
      </c>
      <c r="N254" t="n">
        <v>30</v>
      </c>
      <c r="O254" t="n">
        <v>99.90000000000001</v>
      </c>
      <c r="P254" t="n">
        <v>0</v>
      </c>
    </row>
    <row r="255">
      <c r="A255" t="n">
        <v>826571</v>
      </c>
      <c r="B255" t="inlineStr">
        <is>
          <t>07-05-2026</t>
        </is>
      </c>
      <c r="C255" t="inlineStr">
        <is>
          <t>S246</t>
        </is>
      </c>
      <c r="D255" t="inlineStr">
        <is>
          <t>SKIDDER</t>
        </is>
      </c>
      <c r="E255" t="inlineStr">
        <is>
          <t>COIHUECO Y OTROS (BB)</t>
        </is>
      </c>
      <c r="F255" t="inlineStr">
        <is>
          <t>PIRA</t>
        </is>
      </c>
      <c r="G255" t="n">
        <v>720</v>
      </c>
      <c r="H255" t="n">
        <v>0</v>
      </c>
      <c r="I255" t="n">
        <v>10.5</v>
      </c>
      <c r="J255" t="n">
        <v>33</v>
      </c>
      <c r="K255" t="n">
        <v>0</v>
      </c>
      <c r="L255" t="n">
        <v>39.22</v>
      </c>
      <c r="M255" t="n">
        <v>30</v>
      </c>
      <c r="N255" t="n">
        <v>30</v>
      </c>
      <c r="O255" t="n">
        <v>99.90000000000001</v>
      </c>
      <c r="P255" t="n">
        <v>3.73</v>
      </c>
    </row>
    <row r="256">
      <c r="A256" t="n">
        <v>826571</v>
      </c>
      <c r="B256" t="inlineStr">
        <is>
          <t>07-05-2026</t>
        </is>
      </c>
      <c r="C256" t="inlineStr">
        <is>
          <t>S246</t>
        </is>
      </c>
      <c r="D256" t="inlineStr">
        <is>
          <t>SKIDDER</t>
        </is>
      </c>
      <c r="E256" t="inlineStr">
        <is>
          <t>COIHUECO Y OTROS (BB)</t>
        </is>
      </c>
      <c r="F256" t="inlineStr">
        <is>
          <t>PIRA</t>
        </is>
      </c>
      <c r="G256" t="n">
        <v>720</v>
      </c>
      <c r="H256" t="n">
        <v>0</v>
      </c>
      <c r="I256" t="n">
        <v>10.5</v>
      </c>
      <c r="J256" t="n">
        <v>33</v>
      </c>
      <c r="K256" t="n">
        <v>0</v>
      </c>
      <c r="L256" t="n">
        <v>41.04</v>
      </c>
      <c r="M256" t="n">
        <v>30</v>
      </c>
      <c r="N256" t="n">
        <v>30</v>
      </c>
      <c r="O256" t="n">
        <v>99.90000000000001</v>
      </c>
      <c r="P256" t="n">
        <v>3.91</v>
      </c>
    </row>
    <row r="257">
      <c r="A257" t="n">
        <v>826571</v>
      </c>
      <c r="B257" t="inlineStr">
        <is>
          <t>07-05-2026</t>
        </is>
      </c>
      <c r="C257" t="inlineStr">
        <is>
          <t>S246</t>
        </is>
      </c>
      <c r="D257" t="inlineStr">
        <is>
          <t>SKIDDER</t>
        </is>
      </c>
      <c r="E257" t="inlineStr">
        <is>
          <t>COIHUECO Y OTROS (BB)</t>
        </is>
      </c>
      <c r="F257" t="inlineStr">
        <is>
          <t>PIRA</t>
        </is>
      </c>
      <c r="G257" t="n">
        <v>720</v>
      </c>
      <c r="H257" t="n">
        <v>0</v>
      </c>
      <c r="I257" t="n">
        <v>10.5</v>
      </c>
      <c r="J257" t="n">
        <v>33</v>
      </c>
      <c r="K257" t="n">
        <v>0</v>
      </c>
      <c r="L257" t="n">
        <v>0</v>
      </c>
      <c r="M257" t="n">
        <v>30</v>
      </c>
      <c r="N257" t="n">
        <v>30</v>
      </c>
      <c r="O257" t="n">
        <v>99.90000000000001</v>
      </c>
      <c r="P257" t="n">
        <v>0</v>
      </c>
    </row>
    <row r="258">
      <c r="A258" t="n">
        <v>826571</v>
      </c>
      <c r="B258" t="inlineStr">
        <is>
          <t>07-05-2026</t>
        </is>
      </c>
      <c r="C258" t="inlineStr">
        <is>
          <t>S246</t>
        </is>
      </c>
      <c r="D258" t="inlineStr">
        <is>
          <t>SKIDDER</t>
        </is>
      </c>
      <c r="E258" t="inlineStr">
        <is>
          <t>COIHUECO Y OTROS (BB)</t>
        </is>
      </c>
      <c r="F258" t="inlineStr">
        <is>
          <t>PIRA</t>
        </is>
      </c>
      <c r="G258" t="n">
        <v>720</v>
      </c>
      <c r="H258" t="n">
        <v>0</v>
      </c>
      <c r="I258" t="n">
        <v>10.5</v>
      </c>
      <c r="J258" t="n">
        <v>33</v>
      </c>
      <c r="K258" t="n">
        <v>0</v>
      </c>
      <c r="L258" t="n">
        <v>9.58</v>
      </c>
      <c r="M258" t="n">
        <v>30</v>
      </c>
      <c r="N258" t="n">
        <v>30</v>
      </c>
      <c r="O258" t="n">
        <v>99.90000000000001</v>
      </c>
      <c r="P258" t="n">
        <v>0.91</v>
      </c>
    </row>
    <row r="259">
      <c r="A259" t="n">
        <v>826571</v>
      </c>
      <c r="B259" t="inlineStr">
        <is>
          <t>07-05-2026</t>
        </is>
      </c>
      <c r="C259" t="inlineStr">
        <is>
          <t>S246</t>
        </is>
      </c>
      <c r="D259" t="inlineStr">
        <is>
          <t>SKIDDER</t>
        </is>
      </c>
      <c r="E259" t="inlineStr">
        <is>
          <t>COIHUECO Y OTROS (BB)</t>
        </is>
      </c>
      <c r="F259" t="inlineStr">
        <is>
          <t>PIRA</t>
        </is>
      </c>
      <c r="G259" t="n">
        <v>720</v>
      </c>
      <c r="H259" t="n">
        <v>0</v>
      </c>
      <c r="I259" t="n">
        <v>10.5</v>
      </c>
      <c r="J259" t="n">
        <v>33</v>
      </c>
      <c r="K259" t="n">
        <v>0</v>
      </c>
      <c r="L259" t="n">
        <v>5.72</v>
      </c>
      <c r="M259" t="n">
        <v>30</v>
      </c>
      <c r="N259" t="n">
        <v>30</v>
      </c>
      <c r="O259" t="n">
        <v>99.90000000000001</v>
      </c>
      <c r="P259" t="n">
        <v>0.55</v>
      </c>
    </row>
    <row r="260">
      <c r="A260" t="n">
        <v>826571</v>
      </c>
      <c r="B260" t="inlineStr">
        <is>
          <t>07-05-2026</t>
        </is>
      </c>
      <c r="C260" t="inlineStr">
        <is>
          <t>S246</t>
        </is>
      </c>
      <c r="D260" t="inlineStr">
        <is>
          <t>SKIDDER</t>
        </is>
      </c>
      <c r="E260" t="inlineStr">
        <is>
          <t>COIHUECO Y OTROS (BB)</t>
        </is>
      </c>
      <c r="F260" t="inlineStr">
        <is>
          <t>PIRA</t>
        </is>
      </c>
      <c r="G260" t="n">
        <v>720</v>
      </c>
      <c r="H260" t="n">
        <v>0</v>
      </c>
      <c r="I260" t="n">
        <v>10.5</v>
      </c>
      <c r="J260" t="n">
        <v>33</v>
      </c>
      <c r="K260" t="n">
        <v>0</v>
      </c>
      <c r="L260" t="n">
        <v>65.26000000000001</v>
      </c>
      <c r="M260" t="n">
        <v>30</v>
      </c>
      <c r="N260" t="n">
        <v>30</v>
      </c>
      <c r="O260" t="n">
        <v>99.90000000000001</v>
      </c>
      <c r="P260" t="n">
        <v>6.22</v>
      </c>
    </row>
    <row r="261">
      <c r="A261" t="n">
        <v>826571</v>
      </c>
      <c r="B261" t="inlineStr">
        <is>
          <t>07-05-2026</t>
        </is>
      </c>
      <c r="C261" t="inlineStr">
        <is>
          <t>S246</t>
        </is>
      </c>
      <c r="D261" t="inlineStr">
        <is>
          <t>SKIDDER</t>
        </is>
      </c>
      <c r="E261" t="inlineStr">
        <is>
          <t>COIHUECO Y OTROS (BB)</t>
        </is>
      </c>
      <c r="F261" t="inlineStr">
        <is>
          <t>PIRA</t>
        </is>
      </c>
      <c r="G261" t="n">
        <v>720</v>
      </c>
      <c r="H261" t="n">
        <v>0</v>
      </c>
      <c r="I261" t="n">
        <v>10.5</v>
      </c>
      <c r="J261" t="n">
        <v>33</v>
      </c>
      <c r="K261" t="n">
        <v>0</v>
      </c>
      <c r="L261" t="n">
        <v>33.2</v>
      </c>
      <c r="M261" t="n">
        <v>30</v>
      </c>
      <c r="N261" t="n">
        <v>30</v>
      </c>
      <c r="O261" t="n">
        <v>99.90000000000001</v>
      </c>
      <c r="P261" t="n">
        <v>3.16</v>
      </c>
    </row>
    <row r="262">
      <c r="A262" t="n">
        <v>826571</v>
      </c>
      <c r="B262" t="inlineStr">
        <is>
          <t>07-05-2026</t>
        </is>
      </c>
      <c r="C262" t="inlineStr">
        <is>
          <t>S246</t>
        </is>
      </c>
      <c r="D262" t="inlineStr">
        <is>
          <t>SKIDDER</t>
        </is>
      </c>
      <c r="E262" t="inlineStr">
        <is>
          <t>COIHUECO Y OTROS (BB)</t>
        </is>
      </c>
      <c r="F262" t="inlineStr">
        <is>
          <t>PIRA</t>
        </is>
      </c>
      <c r="G262" t="n">
        <v>720</v>
      </c>
      <c r="H262" t="n">
        <v>0</v>
      </c>
      <c r="I262" t="n">
        <v>10.5</v>
      </c>
      <c r="J262" t="n">
        <v>33</v>
      </c>
      <c r="K262" t="n">
        <v>0</v>
      </c>
      <c r="L262" t="n">
        <v>10.12</v>
      </c>
      <c r="M262" t="n">
        <v>30</v>
      </c>
      <c r="N262" t="n">
        <v>30</v>
      </c>
      <c r="O262" t="n">
        <v>99.90000000000001</v>
      </c>
      <c r="P262" t="n">
        <v>0.96</v>
      </c>
    </row>
    <row r="263">
      <c r="A263" t="n">
        <v>826571</v>
      </c>
      <c r="B263" t="inlineStr">
        <is>
          <t>07-05-2026</t>
        </is>
      </c>
      <c r="C263" t="inlineStr">
        <is>
          <t>S246</t>
        </is>
      </c>
      <c r="D263" t="inlineStr">
        <is>
          <t>SKIDDER</t>
        </is>
      </c>
      <c r="E263" t="inlineStr">
        <is>
          <t>COIHUECO Y OTROS (BB)</t>
        </is>
      </c>
      <c r="F263" t="inlineStr">
        <is>
          <t>PIRA</t>
        </is>
      </c>
      <c r="G263" t="n">
        <v>720</v>
      </c>
      <c r="H263" t="n">
        <v>0</v>
      </c>
      <c r="I263" t="n">
        <v>10.5</v>
      </c>
      <c r="J263" t="n">
        <v>33</v>
      </c>
      <c r="K263" t="n">
        <v>0</v>
      </c>
      <c r="L263" t="n">
        <v>7.59</v>
      </c>
      <c r="M263" t="n">
        <v>30</v>
      </c>
      <c r="N263" t="n">
        <v>30</v>
      </c>
      <c r="O263" t="n">
        <v>99.90000000000001</v>
      </c>
      <c r="P263" t="n">
        <v>0.72</v>
      </c>
    </row>
    <row r="264">
      <c r="A264" t="n">
        <v>826575</v>
      </c>
      <c r="B264" t="inlineStr">
        <is>
          <t>07-05-2026</t>
        </is>
      </c>
      <c r="C264" t="inlineStr">
        <is>
          <t>T125</t>
        </is>
      </c>
      <c r="D264" t="inlineStr">
        <is>
          <t>TORRE500</t>
        </is>
      </c>
      <c r="E264" t="inlineStr">
        <is>
          <t>POLHUIN</t>
        </is>
      </c>
      <c r="F264" t="inlineStr">
        <is>
          <t>EUGL</t>
        </is>
      </c>
      <c r="G264" t="n">
        <v>720</v>
      </c>
      <c r="H264" t="n">
        <v>0</v>
      </c>
      <c r="I264" t="n">
        <v>9</v>
      </c>
      <c r="J264" t="n">
        <v>133</v>
      </c>
      <c r="K264" t="n">
        <v>0</v>
      </c>
      <c r="L264" t="n">
        <v>249.79</v>
      </c>
      <c r="M264" t="n">
        <v>120</v>
      </c>
      <c r="N264" t="n">
        <v>120</v>
      </c>
      <c r="O264" t="n">
        <v>99.7</v>
      </c>
      <c r="P264" t="n">
        <v>27.75</v>
      </c>
    </row>
    <row r="265">
      <c r="A265" t="n">
        <v>826577</v>
      </c>
      <c r="B265" t="inlineStr">
        <is>
          <t>07-05-2026</t>
        </is>
      </c>
      <c r="C265" t="inlineStr">
        <is>
          <t>S58</t>
        </is>
      </c>
      <c r="D265" t="inlineStr">
        <is>
          <t>SKIDDER</t>
        </is>
      </c>
      <c r="E265" t="inlineStr">
        <is>
          <t>COIHUECO Y OTROS (BB)</t>
        </is>
      </c>
      <c r="F265" t="inlineStr">
        <is>
          <t>PIRA</t>
        </is>
      </c>
      <c r="G265" t="n">
        <v>720</v>
      </c>
      <c r="H265" t="n">
        <v>0</v>
      </c>
      <c r="I265" t="n">
        <v>9</v>
      </c>
      <c r="J265" t="n">
        <v>34</v>
      </c>
      <c r="K265" t="n">
        <v>0</v>
      </c>
      <c r="L265" t="n">
        <v>15.96</v>
      </c>
      <c r="M265" t="n">
        <v>120</v>
      </c>
      <c r="N265" t="n">
        <v>120</v>
      </c>
      <c r="O265" t="n">
        <v>99.7</v>
      </c>
      <c r="P265" t="n">
        <v>1.77</v>
      </c>
    </row>
    <row r="266">
      <c r="A266" t="n">
        <v>826577</v>
      </c>
      <c r="B266" t="inlineStr">
        <is>
          <t>07-05-2026</t>
        </is>
      </c>
      <c r="C266" t="inlineStr">
        <is>
          <t>S58</t>
        </is>
      </c>
      <c r="D266" t="inlineStr">
        <is>
          <t>SKIDDER</t>
        </is>
      </c>
      <c r="E266" t="inlineStr">
        <is>
          <t>COIHUECO Y OTROS (BB)</t>
        </is>
      </c>
      <c r="F266" t="inlineStr">
        <is>
          <t>PIRA</t>
        </is>
      </c>
      <c r="G266" t="n">
        <v>720</v>
      </c>
      <c r="H266" t="n">
        <v>0</v>
      </c>
      <c r="I266" t="n">
        <v>9</v>
      </c>
      <c r="J266" t="n">
        <v>34</v>
      </c>
      <c r="K266" t="n">
        <v>0</v>
      </c>
      <c r="L266" t="n">
        <v>2.33</v>
      </c>
      <c r="M266" t="n">
        <v>120</v>
      </c>
      <c r="N266" t="n">
        <v>120</v>
      </c>
      <c r="O266" t="n">
        <v>99.7</v>
      </c>
      <c r="P266" t="n">
        <v>0.26</v>
      </c>
    </row>
    <row r="267">
      <c r="A267" t="n">
        <v>826577</v>
      </c>
      <c r="B267" t="inlineStr">
        <is>
          <t>07-05-2026</t>
        </is>
      </c>
      <c r="C267" t="inlineStr">
        <is>
          <t>S58</t>
        </is>
      </c>
      <c r="D267" t="inlineStr">
        <is>
          <t>SKIDDER</t>
        </is>
      </c>
      <c r="E267" t="inlineStr">
        <is>
          <t>COIHUECO Y OTROS (BB)</t>
        </is>
      </c>
      <c r="F267" t="inlineStr">
        <is>
          <t>PIRA</t>
        </is>
      </c>
      <c r="G267" t="n">
        <v>720</v>
      </c>
      <c r="H267" t="n">
        <v>0</v>
      </c>
      <c r="I267" t="n">
        <v>9</v>
      </c>
      <c r="J267" t="n">
        <v>34</v>
      </c>
      <c r="K267" t="n">
        <v>0</v>
      </c>
      <c r="L267" t="n">
        <v>22.42</v>
      </c>
      <c r="M267" t="n">
        <v>120</v>
      </c>
      <c r="N267" t="n">
        <v>120</v>
      </c>
      <c r="O267" t="n">
        <v>99.7</v>
      </c>
      <c r="P267" t="n">
        <v>2.49</v>
      </c>
    </row>
    <row r="268">
      <c r="A268" t="n">
        <v>826577</v>
      </c>
      <c r="B268" t="inlineStr">
        <is>
          <t>07-05-2026</t>
        </is>
      </c>
      <c r="C268" t="inlineStr">
        <is>
          <t>S58</t>
        </is>
      </c>
      <c r="D268" t="inlineStr">
        <is>
          <t>SKIDDER</t>
        </is>
      </c>
      <c r="E268" t="inlineStr">
        <is>
          <t>COIHUECO Y OTROS (BB)</t>
        </is>
      </c>
      <c r="F268" t="inlineStr">
        <is>
          <t>PIRA</t>
        </is>
      </c>
      <c r="G268" t="n">
        <v>720</v>
      </c>
      <c r="H268" t="n">
        <v>0</v>
      </c>
      <c r="I268" t="n">
        <v>9</v>
      </c>
      <c r="J268" t="n">
        <v>34</v>
      </c>
      <c r="K268" t="n">
        <v>0</v>
      </c>
      <c r="L268" t="n">
        <v>4.88</v>
      </c>
      <c r="M268" t="n">
        <v>120</v>
      </c>
      <c r="N268" t="n">
        <v>120</v>
      </c>
      <c r="O268" t="n">
        <v>99.7</v>
      </c>
      <c r="P268" t="n">
        <v>0.54</v>
      </c>
    </row>
    <row r="269">
      <c r="A269" t="n">
        <v>826577</v>
      </c>
      <c r="B269" t="inlineStr">
        <is>
          <t>07-05-2026</t>
        </is>
      </c>
      <c r="C269" t="inlineStr">
        <is>
          <t>S58</t>
        </is>
      </c>
      <c r="D269" t="inlineStr">
        <is>
          <t>SKIDDER</t>
        </is>
      </c>
      <c r="E269" t="inlineStr">
        <is>
          <t>COIHUECO Y OTROS (BB)</t>
        </is>
      </c>
      <c r="F269" t="inlineStr">
        <is>
          <t>PIRA</t>
        </is>
      </c>
      <c r="G269" t="n">
        <v>720</v>
      </c>
      <c r="H269" t="n">
        <v>0</v>
      </c>
      <c r="I269" t="n">
        <v>9</v>
      </c>
      <c r="J269" t="n">
        <v>34</v>
      </c>
      <c r="K269" t="n">
        <v>0</v>
      </c>
      <c r="L269" t="n">
        <v>29.12</v>
      </c>
      <c r="M269" t="n">
        <v>120</v>
      </c>
      <c r="N269" t="n">
        <v>120</v>
      </c>
      <c r="O269" t="n">
        <v>99.7</v>
      </c>
      <c r="P269" t="n">
        <v>3.24</v>
      </c>
    </row>
    <row r="270">
      <c r="A270" t="n">
        <v>826577</v>
      </c>
      <c r="B270" t="inlineStr">
        <is>
          <t>07-05-2026</t>
        </is>
      </c>
      <c r="C270" t="inlineStr">
        <is>
          <t>S58</t>
        </is>
      </c>
      <c r="D270" t="inlineStr">
        <is>
          <t>SKIDDER</t>
        </is>
      </c>
      <c r="E270" t="inlineStr">
        <is>
          <t>COIHUECO Y OTROS (BB)</t>
        </is>
      </c>
      <c r="F270" t="inlineStr">
        <is>
          <t>PIRA</t>
        </is>
      </c>
      <c r="G270" t="n">
        <v>720</v>
      </c>
      <c r="H270" t="n">
        <v>0</v>
      </c>
      <c r="I270" t="n">
        <v>9</v>
      </c>
      <c r="J270" t="n">
        <v>34</v>
      </c>
      <c r="K270" t="n">
        <v>0</v>
      </c>
      <c r="L270" t="n">
        <v>10.83</v>
      </c>
      <c r="M270" t="n">
        <v>120</v>
      </c>
      <c r="N270" t="n">
        <v>120</v>
      </c>
      <c r="O270" t="n">
        <v>99.7</v>
      </c>
      <c r="P270" t="n">
        <v>1.2</v>
      </c>
    </row>
    <row r="271">
      <c r="A271" t="n">
        <v>826577</v>
      </c>
      <c r="B271" t="inlineStr">
        <is>
          <t>07-05-2026</t>
        </is>
      </c>
      <c r="C271" t="inlineStr">
        <is>
          <t>S58</t>
        </is>
      </c>
      <c r="D271" t="inlineStr">
        <is>
          <t>SKIDDER</t>
        </is>
      </c>
      <c r="E271" t="inlineStr">
        <is>
          <t>COIHUECO Y OTROS (BB)</t>
        </is>
      </c>
      <c r="F271" t="inlineStr">
        <is>
          <t>PIRA</t>
        </is>
      </c>
      <c r="G271" t="n">
        <v>720</v>
      </c>
      <c r="H271" t="n">
        <v>0</v>
      </c>
      <c r="I271" t="n">
        <v>9</v>
      </c>
      <c r="J271" t="n">
        <v>34</v>
      </c>
      <c r="K271" t="n">
        <v>0</v>
      </c>
      <c r="L271" t="n">
        <v>44.92</v>
      </c>
      <c r="M271" t="n">
        <v>120</v>
      </c>
      <c r="N271" t="n">
        <v>120</v>
      </c>
      <c r="O271" t="n">
        <v>99.7</v>
      </c>
      <c r="P271" t="n">
        <v>4.99</v>
      </c>
    </row>
    <row r="272">
      <c r="A272" t="n">
        <v>826604</v>
      </c>
      <c r="B272" t="inlineStr">
        <is>
          <t>07-05-2026</t>
        </is>
      </c>
      <c r="C272" t="inlineStr">
        <is>
          <t>TEA02</t>
        </is>
      </c>
      <c r="D272" t="inlineStr">
        <is>
          <t>FORWINCH</t>
        </is>
      </c>
      <c r="E272" t="inlineStr">
        <is>
          <t>COIHUECO Y OTROS (BB)</t>
        </is>
      </c>
      <c r="F272" t="inlineStr">
        <is>
          <t>PIRA</t>
        </is>
      </c>
      <c r="G272" t="n">
        <v>720</v>
      </c>
      <c r="H272" t="n">
        <v>0</v>
      </c>
      <c r="I272" t="n">
        <v>9</v>
      </c>
      <c r="J272" t="n">
        <v>45</v>
      </c>
      <c r="K272" t="n">
        <v>0</v>
      </c>
      <c r="L272" t="n">
        <v>4.79</v>
      </c>
      <c r="M272" t="n">
        <v>0</v>
      </c>
      <c r="N272" t="n">
        <v>120</v>
      </c>
      <c r="O272" t="n">
        <v>100</v>
      </c>
      <c r="P272" t="n">
        <v>0.53</v>
      </c>
    </row>
    <row r="273">
      <c r="A273" t="n">
        <v>826604</v>
      </c>
      <c r="B273" t="inlineStr">
        <is>
          <t>07-05-2026</t>
        </is>
      </c>
      <c r="C273" t="inlineStr">
        <is>
          <t>TEA02</t>
        </is>
      </c>
      <c r="D273" t="inlineStr">
        <is>
          <t>FORWINCH</t>
        </is>
      </c>
      <c r="E273" t="inlineStr">
        <is>
          <t>COIHUECO Y OTROS (BB)</t>
        </is>
      </c>
      <c r="F273" t="inlineStr">
        <is>
          <t>PIRA</t>
        </is>
      </c>
      <c r="G273" t="n">
        <v>720</v>
      </c>
      <c r="H273" t="n">
        <v>0</v>
      </c>
      <c r="I273" t="n">
        <v>9</v>
      </c>
      <c r="J273" t="n">
        <v>45</v>
      </c>
      <c r="K273" t="n">
        <v>0</v>
      </c>
      <c r="L273" t="n">
        <v>16.37</v>
      </c>
      <c r="M273" t="n">
        <v>0</v>
      </c>
      <c r="N273" t="n">
        <v>120</v>
      </c>
      <c r="O273" t="n">
        <v>100</v>
      </c>
      <c r="P273" t="n">
        <v>1.82</v>
      </c>
    </row>
    <row r="274">
      <c r="A274" t="n">
        <v>826604</v>
      </c>
      <c r="B274" t="inlineStr">
        <is>
          <t>07-05-2026</t>
        </is>
      </c>
      <c r="C274" t="inlineStr">
        <is>
          <t>TEA02</t>
        </is>
      </c>
      <c r="D274" t="inlineStr">
        <is>
          <t>FORWINCH</t>
        </is>
      </c>
      <c r="E274" t="inlineStr">
        <is>
          <t>COIHUECO Y OTROS (BB)</t>
        </is>
      </c>
      <c r="F274" t="inlineStr">
        <is>
          <t>PIRA</t>
        </is>
      </c>
      <c r="G274" t="n">
        <v>720</v>
      </c>
      <c r="H274" t="n">
        <v>0</v>
      </c>
      <c r="I274" t="n">
        <v>9</v>
      </c>
      <c r="J274" t="n">
        <v>45</v>
      </c>
      <c r="K274" t="n">
        <v>0</v>
      </c>
      <c r="L274" t="n">
        <v>39.67</v>
      </c>
      <c r="M274" t="n">
        <v>0</v>
      </c>
      <c r="N274" t="n">
        <v>120</v>
      </c>
      <c r="O274" t="n">
        <v>100</v>
      </c>
      <c r="P274" t="n">
        <v>4.41</v>
      </c>
    </row>
    <row r="275">
      <c r="A275" t="n">
        <v>826604</v>
      </c>
      <c r="B275" t="inlineStr">
        <is>
          <t>07-05-2026</t>
        </is>
      </c>
      <c r="C275" t="inlineStr">
        <is>
          <t>TEA02</t>
        </is>
      </c>
      <c r="D275" t="inlineStr">
        <is>
          <t>FORWINCH</t>
        </is>
      </c>
      <c r="E275" t="inlineStr">
        <is>
          <t>COIHUECO Y OTROS (BB)</t>
        </is>
      </c>
      <c r="F275" t="inlineStr">
        <is>
          <t>PIRA</t>
        </is>
      </c>
      <c r="G275" t="n">
        <v>720</v>
      </c>
      <c r="H275" t="n">
        <v>0</v>
      </c>
      <c r="I275" t="n">
        <v>9</v>
      </c>
      <c r="J275" t="n">
        <v>45</v>
      </c>
      <c r="K275" t="n">
        <v>0</v>
      </c>
      <c r="L275" t="n">
        <v>7.72</v>
      </c>
      <c r="M275" t="n">
        <v>0</v>
      </c>
      <c r="N275" t="n">
        <v>120</v>
      </c>
      <c r="O275" t="n">
        <v>100</v>
      </c>
      <c r="P275" t="n">
        <v>0.86</v>
      </c>
    </row>
    <row r="276">
      <c r="A276" t="n">
        <v>826604</v>
      </c>
      <c r="B276" t="inlineStr">
        <is>
          <t>07-05-2026</t>
        </is>
      </c>
      <c r="C276" t="inlineStr">
        <is>
          <t>TEA02</t>
        </is>
      </c>
      <c r="D276" t="inlineStr">
        <is>
          <t>FORWINCH</t>
        </is>
      </c>
      <c r="E276" t="inlineStr">
        <is>
          <t>COIHUECO Y OTROS (BB)</t>
        </is>
      </c>
      <c r="F276" t="inlineStr">
        <is>
          <t>PIRA</t>
        </is>
      </c>
      <c r="G276" t="n">
        <v>720</v>
      </c>
      <c r="H276" t="n">
        <v>0</v>
      </c>
      <c r="I276" t="n">
        <v>9</v>
      </c>
      <c r="J276" t="n">
        <v>45</v>
      </c>
      <c r="K276" t="n">
        <v>0</v>
      </c>
      <c r="L276" t="n">
        <v>16.72</v>
      </c>
      <c r="M276" t="n">
        <v>0</v>
      </c>
      <c r="N276" t="n">
        <v>120</v>
      </c>
      <c r="O276" t="n">
        <v>100</v>
      </c>
      <c r="P276" t="n">
        <v>1.86</v>
      </c>
    </row>
    <row r="277">
      <c r="A277" t="n">
        <v>826604</v>
      </c>
      <c r="B277" t="inlineStr">
        <is>
          <t>07-05-2026</t>
        </is>
      </c>
      <c r="C277" t="inlineStr">
        <is>
          <t>TEA02</t>
        </is>
      </c>
      <c r="D277" t="inlineStr">
        <is>
          <t>FORWINCH</t>
        </is>
      </c>
      <c r="E277" t="inlineStr">
        <is>
          <t>COIHUECO Y OTROS (BB)</t>
        </is>
      </c>
      <c r="F277" t="inlineStr">
        <is>
          <t>PIRA</t>
        </is>
      </c>
      <c r="G277" t="n">
        <v>720</v>
      </c>
      <c r="H277" t="n">
        <v>0</v>
      </c>
      <c r="I277" t="n">
        <v>9</v>
      </c>
      <c r="J277" t="n">
        <v>45</v>
      </c>
      <c r="K277" t="n">
        <v>0</v>
      </c>
      <c r="L277" t="n">
        <v>15.34</v>
      </c>
      <c r="M277" t="n">
        <v>0</v>
      </c>
      <c r="N277" t="n">
        <v>120</v>
      </c>
      <c r="O277" t="n">
        <v>100</v>
      </c>
      <c r="P277" t="n">
        <v>1.7</v>
      </c>
    </row>
    <row r="278">
      <c r="A278" t="n">
        <v>826604</v>
      </c>
      <c r="B278" t="inlineStr">
        <is>
          <t>07-05-2026</t>
        </is>
      </c>
      <c r="C278" t="inlineStr">
        <is>
          <t>TEA02</t>
        </is>
      </c>
      <c r="D278" t="inlineStr">
        <is>
          <t>FORWINCH</t>
        </is>
      </c>
      <c r="E278" t="inlineStr">
        <is>
          <t>COIHUECO Y OTROS (BB)</t>
        </is>
      </c>
      <c r="F278" t="inlineStr">
        <is>
          <t>PIRA</t>
        </is>
      </c>
      <c r="G278" t="n">
        <v>720</v>
      </c>
      <c r="H278" t="n">
        <v>0</v>
      </c>
      <c r="I278" t="n">
        <v>9</v>
      </c>
      <c r="J278" t="n">
        <v>45</v>
      </c>
      <c r="K278" t="n">
        <v>0</v>
      </c>
      <c r="L278" t="n">
        <v>8.52</v>
      </c>
      <c r="M278" t="n">
        <v>0</v>
      </c>
      <c r="N278" t="n">
        <v>120</v>
      </c>
      <c r="O278" t="n">
        <v>100</v>
      </c>
      <c r="P278" t="n">
        <v>0.95</v>
      </c>
    </row>
    <row r="279">
      <c r="A279" t="n">
        <v>826605</v>
      </c>
      <c r="B279" t="inlineStr">
        <is>
          <t>07-05-2026</t>
        </is>
      </c>
      <c r="C279" t="inlineStr">
        <is>
          <t>MG5</t>
        </is>
      </c>
      <c r="D279" t="inlineStr">
        <is>
          <t>GRAPPLE</t>
        </is>
      </c>
      <c r="E279" t="inlineStr">
        <is>
          <t>CE-27 ESPINALILLO YBAR</t>
        </is>
      </c>
      <c r="F279" t="inlineStr">
        <is>
          <t>PIRA</t>
        </is>
      </c>
      <c r="G279" t="n">
        <v>375</v>
      </c>
      <c r="H279" t="n">
        <v>0</v>
      </c>
      <c r="I279" t="n">
        <v>5.5</v>
      </c>
      <c r="J279" t="n">
        <v>73</v>
      </c>
      <c r="K279" t="n">
        <v>0</v>
      </c>
      <c r="L279" t="n">
        <v>41.64</v>
      </c>
      <c r="M279" t="n">
        <v>0</v>
      </c>
      <c r="N279" t="n">
        <v>15</v>
      </c>
      <c r="O279" t="n">
        <v>100</v>
      </c>
      <c r="P279" t="n">
        <v>7.57</v>
      </c>
    </row>
    <row r="280">
      <c r="A280" t="n">
        <v>826605</v>
      </c>
      <c r="B280" t="inlineStr">
        <is>
          <t>07-05-2026</t>
        </is>
      </c>
      <c r="C280" t="inlineStr">
        <is>
          <t>MG5</t>
        </is>
      </c>
      <c r="D280" t="inlineStr">
        <is>
          <t>GRAPPLE</t>
        </is>
      </c>
      <c r="E280" t="inlineStr">
        <is>
          <t>CE-27 ESPINALILLO YBAR</t>
        </is>
      </c>
      <c r="F280" t="inlineStr">
        <is>
          <t>PIRA</t>
        </is>
      </c>
      <c r="G280" t="n">
        <v>375</v>
      </c>
      <c r="H280" t="n">
        <v>0</v>
      </c>
      <c r="I280" t="n">
        <v>5.5</v>
      </c>
      <c r="J280" t="n">
        <v>73</v>
      </c>
      <c r="K280" t="n">
        <v>0</v>
      </c>
      <c r="L280" t="n">
        <v>41.45</v>
      </c>
      <c r="M280" t="n">
        <v>0</v>
      </c>
      <c r="N280" t="n">
        <v>15</v>
      </c>
      <c r="O280" t="n">
        <v>100</v>
      </c>
      <c r="P280" t="n">
        <v>7.54</v>
      </c>
    </row>
    <row r="281">
      <c r="A281" t="n">
        <v>826605</v>
      </c>
      <c r="B281" t="inlineStr">
        <is>
          <t>07-05-2026</t>
        </is>
      </c>
      <c r="C281" t="inlineStr">
        <is>
          <t>MG5</t>
        </is>
      </c>
      <c r="D281" t="inlineStr">
        <is>
          <t>GRAPPLE</t>
        </is>
      </c>
      <c r="E281" t="inlineStr">
        <is>
          <t>CE-27 ESPINALILLO YBAR</t>
        </is>
      </c>
      <c r="F281" t="inlineStr">
        <is>
          <t>PIRA</t>
        </is>
      </c>
      <c r="G281" t="n">
        <v>375</v>
      </c>
      <c r="H281" t="n">
        <v>0</v>
      </c>
      <c r="I281" t="n">
        <v>5.5</v>
      </c>
      <c r="J281" t="n">
        <v>73</v>
      </c>
      <c r="K281" t="n">
        <v>0</v>
      </c>
      <c r="L281" t="n">
        <v>53.67</v>
      </c>
      <c r="M281" t="n">
        <v>0</v>
      </c>
      <c r="N281" t="n">
        <v>15</v>
      </c>
      <c r="O281" t="n">
        <v>100</v>
      </c>
      <c r="P281" t="n">
        <v>9.76</v>
      </c>
    </row>
    <row r="282">
      <c r="A282" t="n">
        <v>826608</v>
      </c>
      <c r="B282" t="inlineStr">
        <is>
          <t>07-05-2026</t>
        </is>
      </c>
      <c r="C282" t="inlineStr">
        <is>
          <t>MG5</t>
        </is>
      </c>
      <c r="D282" t="inlineStr">
        <is>
          <t>GRAPPLE</t>
        </is>
      </c>
      <c r="E282" t="inlineStr">
        <is>
          <t>CE-27 ESPINALILLO YBAR</t>
        </is>
      </c>
      <c r="F282" t="inlineStr">
        <is>
          <t>PIRA</t>
        </is>
      </c>
      <c r="G282" t="n">
        <v>345</v>
      </c>
      <c r="H282" t="n">
        <v>0</v>
      </c>
      <c r="I282" t="n">
        <v>5</v>
      </c>
      <c r="J282" t="n">
        <v>0</v>
      </c>
      <c r="K282" t="n">
        <v>0</v>
      </c>
      <c r="L282" t="n">
        <v>8.25</v>
      </c>
      <c r="M282" t="n">
        <v>0</v>
      </c>
      <c r="N282" t="n">
        <v>15</v>
      </c>
      <c r="O282" t="n">
        <v>100</v>
      </c>
      <c r="P282" t="n">
        <v>1.65</v>
      </c>
    </row>
    <row r="283">
      <c r="A283" t="n">
        <v>826608</v>
      </c>
      <c r="B283" t="inlineStr">
        <is>
          <t>07-05-2026</t>
        </is>
      </c>
      <c r="C283" t="inlineStr">
        <is>
          <t>MG5</t>
        </is>
      </c>
      <c r="D283" t="inlineStr">
        <is>
          <t>GRAPPLE</t>
        </is>
      </c>
      <c r="E283" t="inlineStr">
        <is>
          <t>CE-27 ESPINALILLO YBAR</t>
        </is>
      </c>
      <c r="F283" t="inlineStr">
        <is>
          <t>PIRA</t>
        </is>
      </c>
      <c r="G283" t="n">
        <v>345</v>
      </c>
      <c r="H283" t="n">
        <v>0</v>
      </c>
      <c r="I283" t="n">
        <v>5</v>
      </c>
      <c r="J283" t="n">
        <v>0</v>
      </c>
      <c r="K283" t="n">
        <v>0</v>
      </c>
      <c r="L283" t="n">
        <v>8.619999999999999</v>
      </c>
      <c r="M283" t="n">
        <v>0</v>
      </c>
      <c r="N283" t="n">
        <v>15</v>
      </c>
      <c r="O283" t="n">
        <v>100</v>
      </c>
      <c r="P283" t="n">
        <v>1.72</v>
      </c>
    </row>
    <row r="284">
      <c r="A284" t="n">
        <v>826608</v>
      </c>
      <c r="B284" t="inlineStr">
        <is>
          <t>07-05-2026</t>
        </is>
      </c>
      <c r="C284" t="inlineStr">
        <is>
          <t>MG5</t>
        </is>
      </c>
      <c r="D284" t="inlineStr">
        <is>
          <t>GRAPPLE</t>
        </is>
      </c>
      <c r="E284" t="inlineStr">
        <is>
          <t>CE-27 ESPINALILLO YBAR</t>
        </is>
      </c>
      <c r="F284" t="inlineStr">
        <is>
          <t>PIRA</t>
        </is>
      </c>
      <c r="G284" t="n">
        <v>345</v>
      </c>
      <c r="H284" t="n">
        <v>0</v>
      </c>
      <c r="I284" t="n">
        <v>5</v>
      </c>
      <c r="J284" t="n">
        <v>0</v>
      </c>
      <c r="K284" t="n">
        <v>0</v>
      </c>
      <c r="L284" t="n">
        <v>20.71</v>
      </c>
      <c r="M284" t="n">
        <v>0</v>
      </c>
      <c r="N284" t="n">
        <v>15</v>
      </c>
      <c r="O284" t="n">
        <v>100</v>
      </c>
      <c r="P284" t="n">
        <v>4.14</v>
      </c>
    </row>
    <row r="285">
      <c r="A285" t="n">
        <v>826612</v>
      </c>
      <c r="B285" t="inlineStr">
        <is>
          <t>07-05-2026</t>
        </is>
      </c>
      <c r="C285" t="inlineStr">
        <is>
          <t>S123</t>
        </is>
      </c>
      <c r="D285" t="inlineStr">
        <is>
          <t>SKIDDER</t>
        </is>
      </c>
      <c r="E285" t="inlineStr">
        <is>
          <t>EL CABRITO CBB</t>
        </is>
      </c>
      <c r="F285" t="inlineStr">
        <is>
          <t>PIRA</t>
        </is>
      </c>
      <c r="G285" t="n">
        <v>540</v>
      </c>
      <c r="H285" t="n">
        <v>0</v>
      </c>
      <c r="I285" t="n">
        <v>6</v>
      </c>
      <c r="J285" t="n">
        <v>55</v>
      </c>
      <c r="K285" t="n">
        <v>0</v>
      </c>
      <c r="L285" t="n">
        <v>15.96</v>
      </c>
      <c r="M285" t="n">
        <v>0</v>
      </c>
      <c r="N285" t="n">
        <v>150</v>
      </c>
      <c r="O285" t="n">
        <v>100</v>
      </c>
      <c r="P285" t="n">
        <v>2.66</v>
      </c>
    </row>
    <row r="286">
      <c r="A286" t="n">
        <v>826612</v>
      </c>
      <c r="B286" t="inlineStr">
        <is>
          <t>07-05-2026</t>
        </is>
      </c>
      <c r="C286" t="inlineStr">
        <is>
          <t>S123</t>
        </is>
      </c>
      <c r="D286" t="inlineStr">
        <is>
          <t>SKIDDER</t>
        </is>
      </c>
      <c r="E286" t="inlineStr">
        <is>
          <t>EL CABRITO CBB</t>
        </is>
      </c>
      <c r="F286" t="inlineStr">
        <is>
          <t>PIRA</t>
        </is>
      </c>
      <c r="G286" t="n">
        <v>540</v>
      </c>
      <c r="H286" t="n">
        <v>0</v>
      </c>
      <c r="I286" t="n">
        <v>6</v>
      </c>
      <c r="J286" t="n">
        <v>55</v>
      </c>
      <c r="K286" t="n">
        <v>0</v>
      </c>
      <c r="L286" t="n">
        <v>28.13</v>
      </c>
      <c r="M286" t="n">
        <v>0</v>
      </c>
      <c r="N286" t="n">
        <v>150</v>
      </c>
      <c r="O286" t="n">
        <v>100</v>
      </c>
      <c r="P286" t="n">
        <v>4.69</v>
      </c>
    </row>
    <row r="287">
      <c r="A287" t="n">
        <v>826612</v>
      </c>
      <c r="B287" t="inlineStr">
        <is>
          <t>07-05-2026</t>
        </is>
      </c>
      <c r="C287" t="inlineStr">
        <is>
          <t>S123</t>
        </is>
      </c>
      <c r="D287" t="inlineStr">
        <is>
          <t>SKIDDER</t>
        </is>
      </c>
      <c r="E287" t="inlineStr">
        <is>
          <t>EL CABRITO CBB</t>
        </is>
      </c>
      <c r="F287" t="inlineStr">
        <is>
          <t>PIRA</t>
        </is>
      </c>
      <c r="G287" t="n">
        <v>540</v>
      </c>
      <c r="H287" t="n">
        <v>0</v>
      </c>
      <c r="I287" t="n">
        <v>6</v>
      </c>
      <c r="J287" t="n">
        <v>55</v>
      </c>
      <c r="K287" t="n">
        <v>0</v>
      </c>
      <c r="L287" t="n">
        <v>31.06</v>
      </c>
      <c r="M287" t="n">
        <v>0</v>
      </c>
      <c r="N287" t="n">
        <v>150</v>
      </c>
      <c r="O287" t="n">
        <v>100</v>
      </c>
      <c r="P287" t="n">
        <v>5.18</v>
      </c>
    </row>
    <row r="288">
      <c r="A288" t="n">
        <v>826612</v>
      </c>
      <c r="B288" t="inlineStr">
        <is>
          <t>07-05-2026</t>
        </is>
      </c>
      <c r="C288" t="inlineStr">
        <is>
          <t>S123</t>
        </is>
      </c>
      <c r="D288" t="inlineStr">
        <is>
          <t>SKIDDER</t>
        </is>
      </c>
      <c r="E288" t="inlineStr">
        <is>
          <t>EL CABRITO CBB</t>
        </is>
      </c>
      <c r="F288" t="inlineStr">
        <is>
          <t>PIRA</t>
        </is>
      </c>
      <c r="G288" t="n">
        <v>540</v>
      </c>
      <c r="H288" t="n">
        <v>0</v>
      </c>
      <c r="I288" t="n">
        <v>6</v>
      </c>
      <c r="J288" t="n">
        <v>55</v>
      </c>
      <c r="K288" t="n">
        <v>0</v>
      </c>
      <c r="L288" t="n">
        <v>1.05</v>
      </c>
      <c r="M288" t="n">
        <v>0</v>
      </c>
      <c r="N288" t="n">
        <v>150</v>
      </c>
      <c r="O288" t="n">
        <v>100</v>
      </c>
      <c r="P288" t="n">
        <v>0.17</v>
      </c>
    </row>
    <row r="289">
      <c r="A289" t="n">
        <v>826612</v>
      </c>
      <c r="B289" t="inlineStr">
        <is>
          <t>07-05-2026</t>
        </is>
      </c>
      <c r="C289" t="inlineStr">
        <is>
          <t>S123</t>
        </is>
      </c>
      <c r="D289" t="inlineStr">
        <is>
          <t>SKIDDER</t>
        </is>
      </c>
      <c r="E289" t="inlineStr">
        <is>
          <t>EL CABRITO CBB</t>
        </is>
      </c>
      <c r="F289" t="inlineStr">
        <is>
          <t>PIRA</t>
        </is>
      </c>
      <c r="G289" t="n">
        <v>540</v>
      </c>
      <c r="H289" t="n">
        <v>0</v>
      </c>
      <c r="I289" t="n">
        <v>6</v>
      </c>
      <c r="J289" t="n">
        <v>55</v>
      </c>
      <c r="K289" t="n">
        <v>0</v>
      </c>
      <c r="L289" t="n">
        <v>14.36</v>
      </c>
      <c r="M289" t="n">
        <v>0</v>
      </c>
      <c r="N289" t="n">
        <v>150</v>
      </c>
      <c r="O289" t="n">
        <v>100</v>
      </c>
      <c r="P289" t="n">
        <v>2.39</v>
      </c>
    </row>
    <row r="290">
      <c r="A290" t="n">
        <v>826612</v>
      </c>
      <c r="B290" t="inlineStr">
        <is>
          <t>07-05-2026</t>
        </is>
      </c>
      <c r="C290" t="inlineStr">
        <is>
          <t>S123</t>
        </is>
      </c>
      <c r="D290" t="inlineStr">
        <is>
          <t>SKIDDER</t>
        </is>
      </c>
      <c r="E290" t="inlineStr">
        <is>
          <t>EL CABRITO CBB</t>
        </is>
      </c>
      <c r="F290" t="inlineStr">
        <is>
          <t>PIRA</t>
        </is>
      </c>
      <c r="G290" t="n">
        <v>540</v>
      </c>
      <c r="H290" t="n">
        <v>0</v>
      </c>
      <c r="I290" t="n">
        <v>6</v>
      </c>
      <c r="J290" t="n">
        <v>55</v>
      </c>
      <c r="K290" t="n">
        <v>0</v>
      </c>
      <c r="L290" t="n">
        <v>41.67</v>
      </c>
      <c r="M290" t="n">
        <v>0</v>
      </c>
      <c r="N290" t="n">
        <v>150</v>
      </c>
      <c r="O290" t="n">
        <v>100</v>
      </c>
      <c r="P290" t="n">
        <v>6.94</v>
      </c>
    </row>
    <row r="291">
      <c r="A291" t="n">
        <v>826612</v>
      </c>
      <c r="B291" t="inlineStr">
        <is>
          <t>07-05-2026</t>
        </is>
      </c>
      <c r="C291" t="inlineStr">
        <is>
          <t>S123</t>
        </is>
      </c>
      <c r="D291" t="inlineStr">
        <is>
          <t>SKIDDER</t>
        </is>
      </c>
      <c r="E291" t="inlineStr">
        <is>
          <t>EL CABRITO CBB</t>
        </is>
      </c>
      <c r="F291" t="inlineStr">
        <is>
          <t>PIRA</t>
        </is>
      </c>
      <c r="G291" t="n">
        <v>540</v>
      </c>
      <c r="H291" t="n">
        <v>0</v>
      </c>
      <c r="I291" t="n">
        <v>6</v>
      </c>
      <c r="J291" t="n">
        <v>55</v>
      </c>
      <c r="K291" t="n">
        <v>0</v>
      </c>
      <c r="L291" t="n">
        <v>27.49</v>
      </c>
      <c r="M291" t="n">
        <v>0</v>
      </c>
      <c r="N291" t="n">
        <v>150</v>
      </c>
      <c r="O291" t="n">
        <v>100</v>
      </c>
      <c r="P291" t="n">
        <v>4.58</v>
      </c>
    </row>
    <row r="292">
      <c r="A292" t="n">
        <v>826612</v>
      </c>
      <c r="B292" t="inlineStr">
        <is>
          <t>07-05-2026</t>
        </is>
      </c>
      <c r="C292" t="inlineStr">
        <is>
          <t>S123</t>
        </is>
      </c>
      <c r="D292" t="inlineStr">
        <is>
          <t>SKIDDER</t>
        </is>
      </c>
      <c r="E292" t="inlineStr">
        <is>
          <t>EL CABRITO CBB</t>
        </is>
      </c>
      <c r="F292" t="inlineStr">
        <is>
          <t>PIRA</t>
        </is>
      </c>
      <c r="G292" t="n">
        <v>540</v>
      </c>
      <c r="H292" t="n">
        <v>0</v>
      </c>
      <c r="I292" t="n">
        <v>6</v>
      </c>
      <c r="J292" t="n">
        <v>55</v>
      </c>
      <c r="K292" t="n">
        <v>0</v>
      </c>
      <c r="L292" t="n">
        <v>0</v>
      </c>
      <c r="M292" t="n">
        <v>0</v>
      </c>
      <c r="N292" t="n">
        <v>150</v>
      </c>
      <c r="O292" t="n">
        <v>100</v>
      </c>
      <c r="P292" t="n">
        <v>0</v>
      </c>
    </row>
    <row r="293">
      <c r="A293" t="n">
        <v>826612</v>
      </c>
      <c r="B293" t="inlineStr">
        <is>
          <t>07-05-2026</t>
        </is>
      </c>
      <c r="C293" t="inlineStr">
        <is>
          <t>S123</t>
        </is>
      </c>
      <c r="D293" t="inlineStr">
        <is>
          <t>SKIDDER</t>
        </is>
      </c>
      <c r="E293" t="inlineStr">
        <is>
          <t>EL CABRITO CBB</t>
        </is>
      </c>
      <c r="F293" t="inlineStr">
        <is>
          <t>PIRA</t>
        </is>
      </c>
      <c r="G293" t="n">
        <v>540</v>
      </c>
      <c r="H293" t="n">
        <v>0</v>
      </c>
      <c r="I293" t="n">
        <v>6</v>
      </c>
      <c r="J293" t="n">
        <v>55</v>
      </c>
      <c r="K293" t="n">
        <v>0</v>
      </c>
      <c r="L293" t="n">
        <v>57.09</v>
      </c>
      <c r="M293" t="n">
        <v>0</v>
      </c>
      <c r="N293" t="n">
        <v>150</v>
      </c>
      <c r="O293" t="n">
        <v>100</v>
      </c>
      <c r="P293" t="n">
        <v>9.52</v>
      </c>
    </row>
    <row r="294">
      <c r="A294" t="n">
        <v>826615</v>
      </c>
      <c r="B294" t="inlineStr">
        <is>
          <t>07-05-2026</t>
        </is>
      </c>
      <c r="C294" t="inlineStr">
        <is>
          <t>S123</t>
        </is>
      </c>
      <c r="D294" t="inlineStr">
        <is>
          <t>SKIDDER</t>
        </is>
      </c>
      <c r="E294" t="inlineStr">
        <is>
          <t>EL CABRITO CBB</t>
        </is>
      </c>
      <c r="F294" t="inlineStr">
        <is>
          <t>PIRA</t>
        </is>
      </c>
      <c r="G294" t="n">
        <v>180</v>
      </c>
      <c r="H294" t="n">
        <v>0</v>
      </c>
      <c r="I294" t="n">
        <v>2.2</v>
      </c>
      <c r="J294" t="n">
        <v>19</v>
      </c>
      <c r="K294" t="n">
        <v>0</v>
      </c>
      <c r="L294" t="n">
        <v>0</v>
      </c>
      <c r="M294" t="n">
        <v>0</v>
      </c>
      <c r="N294" t="n">
        <v>15</v>
      </c>
      <c r="O294" t="n">
        <v>100</v>
      </c>
      <c r="P294" t="n">
        <v>0</v>
      </c>
    </row>
    <row r="295">
      <c r="A295" t="n">
        <v>826615</v>
      </c>
      <c r="B295" t="inlineStr">
        <is>
          <t>07-05-2026</t>
        </is>
      </c>
      <c r="C295" t="inlineStr">
        <is>
          <t>S123</t>
        </is>
      </c>
      <c r="D295" t="inlineStr">
        <is>
          <t>SKIDDER</t>
        </is>
      </c>
      <c r="E295" t="inlineStr">
        <is>
          <t>EL CABRITO CBB</t>
        </is>
      </c>
      <c r="F295" t="inlineStr">
        <is>
          <t>PIRA</t>
        </is>
      </c>
      <c r="G295" t="n">
        <v>180</v>
      </c>
      <c r="H295" t="n">
        <v>0</v>
      </c>
      <c r="I295" t="n">
        <v>2.2</v>
      </c>
      <c r="J295" t="n">
        <v>19</v>
      </c>
      <c r="K295" t="n">
        <v>0</v>
      </c>
      <c r="L295" t="n">
        <v>40.41</v>
      </c>
      <c r="M295" t="n">
        <v>0</v>
      </c>
      <c r="N295" t="n">
        <v>15</v>
      </c>
      <c r="O295" t="n">
        <v>100</v>
      </c>
      <c r="P295" t="n">
        <v>17.96</v>
      </c>
    </row>
    <row r="296">
      <c r="A296" t="n">
        <v>826615</v>
      </c>
      <c r="B296" t="inlineStr">
        <is>
          <t>07-05-2026</t>
        </is>
      </c>
      <c r="C296" t="inlineStr">
        <is>
          <t>S123</t>
        </is>
      </c>
      <c r="D296" t="inlineStr">
        <is>
          <t>SKIDDER</t>
        </is>
      </c>
      <c r="E296" t="inlineStr">
        <is>
          <t>EL CABRITO CBB</t>
        </is>
      </c>
      <c r="F296" t="inlineStr">
        <is>
          <t>PIRA</t>
        </is>
      </c>
      <c r="G296" t="n">
        <v>180</v>
      </c>
      <c r="H296" t="n">
        <v>0</v>
      </c>
      <c r="I296" t="n">
        <v>2.2</v>
      </c>
      <c r="J296" t="n">
        <v>19</v>
      </c>
      <c r="K296" t="n">
        <v>0</v>
      </c>
      <c r="L296" t="n">
        <v>42.04</v>
      </c>
      <c r="M296" t="n">
        <v>0</v>
      </c>
      <c r="N296" t="n">
        <v>15</v>
      </c>
      <c r="O296" t="n">
        <v>100</v>
      </c>
      <c r="P296" t="n">
        <v>18.69</v>
      </c>
    </row>
    <row r="297">
      <c r="A297" t="n">
        <v>826627</v>
      </c>
      <c r="B297" t="inlineStr">
        <is>
          <t>07-05-2026</t>
        </is>
      </c>
      <c r="C297" t="inlineStr">
        <is>
          <t>S223</t>
        </is>
      </c>
      <c r="D297" t="inlineStr">
        <is>
          <t>SKIDDER</t>
        </is>
      </c>
      <c r="E297" t="inlineStr">
        <is>
          <t>LAS ULLOAS (BB)</t>
        </is>
      </c>
      <c r="F297" t="inlineStr">
        <is>
          <t>PIRA</t>
        </is>
      </c>
      <c r="G297" t="n">
        <v>720</v>
      </c>
      <c r="H297" t="n">
        <v>0</v>
      </c>
      <c r="I297" t="n">
        <v>4</v>
      </c>
      <c r="J297" t="n">
        <v>30</v>
      </c>
      <c r="K297" t="n">
        <v>0</v>
      </c>
      <c r="L297" t="n">
        <v>1.85</v>
      </c>
      <c r="M297" t="n">
        <v>0</v>
      </c>
      <c r="N297" t="n">
        <v>420</v>
      </c>
      <c r="O297" t="n">
        <v>100</v>
      </c>
      <c r="P297" t="n">
        <v>0.46</v>
      </c>
    </row>
    <row r="298">
      <c r="A298" t="n">
        <v>826627</v>
      </c>
      <c r="B298" t="inlineStr">
        <is>
          <t>07-05-2026</t>
        </is>
      </c>
      <c r="C298" t="inlineStr">
        <is>
          <t>S223</t>
        </is>
      </c>
      <c r="D298" t="inlineStr">
        <is>
          <t>SKIDDER</t>
        </is>
      </c>
      <c r="E298" t="inlineStr">
        <is>
          <t>LAS ULLOAS (BB)</t>
        </is>
      </c>
      <c r="F298" t="inlineStr">
        <is>
          <t>PIRA</t>
        </is>
      </c>
      <c r="G298" t="n">
        <v>720</v>
      </c>
      <c r="H298" t="n">
        <v>0</v>
      </c>
      <c r="I298" t="n">
        <v>4</v>
      </c>
      <c r="J298" t="n">
        <v>30</v>
      </c>
      <c r="K298" t="n">
        <v>0</v>
      </c>
      <c r="L298" t="n">
        <v>8.640000000000001</v>
      </c>
      <c r="M298" t="n">
        <v>0</v>
      </c>
      <c r="N298" t="n">
        <v>420</v>
      </c>
      <c r="O298" t="n">
        <v>100</v>
      </c>
      <c r="P298" t="n">
        <v>2.16</v>
      </c>
    </row>
    <row r="299">
      <c r="A299" t="n">
        <v>826627</v>
      </c>
      <c r="B299" t="inlineStr">
        <is>
          <t>07-05-2026</t>
        </is>
      </c>
      <c r="C299" t="inlineStr">
        <is>
          <t>S223</t>
        </is>
      </c>
      <c r="D299" t="inlineStr">
        <is>
          <t>SKIDDER</t>
        </is>
      </c>
      <c r="E299" t="inlineStr">
        <is>
          <t>LAS ULLOAS (BB)</t>
        </is>
      </c>
      <c r="F299" t="inlineStr">
        <is>
          <t>PIRA</t>
        </is>
      </c>
      <c r="G299" t="n">
        <v>720</v>
      </c>
      <c r="H299" t="n">
        <v>0</v>
      </c>
      <c r="I299" t="n">
        <v>4</v>
      </c>
      <c r="J299" t="n">
        <v>30</v>
      </c>
      <c r="K299" t="n">
        <v>0</v>
      </c>
      <c r="L299" t="n">
        <v>11.03</v>
      </c>
      <c r="M299" t="n">
        <v>0</v>
      </c>
      <c r="N299" t="n">
        <v>420</v>
      </c>
      <c r="O299" t="n">
        <v>100</v>
      </c>
      <c r="P299" t="n">
        <v>2.76</v>
      </c>
    </row>
    <row r="300">
      <c r="A300" t="n">
        <v>826627</v>
      </c>
      <c r="B300" t="inlineStr">
        <is>
          <t>07-05-2026</t>
        </is>
      </c>
      <c r="C300" t="inlineStr">
        <is>
          <t>S223</t>
        </is>
      </c>
      <c r="D300" t="inlineStr">
        <is>
          <t>SKIDDER</t>
        </is>
      </c>
      <c r="E300" t="inlineStr">
        <is>
          <t>LAS ULLOAS (BB)</t>
        </is>
      </c>
      <c r="F300" t="inlineStr">
        <is>
          <t>PIRA</t>
        </is>
      </c>
      <c r="G300" t="n">
        <v>720</v>
      </c>
      <c r="H300" t="n">
        <v>0</v>
      </c>
      <c r="I300" t="n">
        <v>4</v>
      </c>
      <c r="J300" t="n">
        <v>30</v>
      </c>
      <c r="K300" t="n">
        <v>0</v>
      </c>
      <c r="L300" t="n">
        <v>11.6</v>
      </c>
      <c r="M300" t="n">
        <v>0</v>
      </c>
      <c r="N300" t="n">
        <v>420</v>
      </c>
      <c r="O300" t="n">
        <v>100</v>
      </c>
      <c r="P300" t="n">
        <v>2.9</v>
      </c>
    </row>
    <row r="301">
      <c r="A301" t="n">
        <v>826648</v>
      </c>
      <c r="B301" t="inlineStr">
        <is>
          <t>07-05-2026</t>
        </is>
      </c>
      <c r="C301" t="inlineStr">
        <is>
          <t>TEA08</t>
        </is>
      </c>
      <c r="D301" t="inlineStr">
        <is>
          <t>FORWINCH</t>
        </is>
      </c>
      <c r="E301" t="inlineStr">
        <is>
          <t>COIHUECO Y OTROS (BB)</t>
        </is>
      </c>
      <c r="F301" t="inlineStr">
        <is>
          <t>PIRA</t>
        </is>
      </c>
      <c r="G301" t="n">
        <v>720</v>
      </c>
      <c r="H301" t="n">
        <v>0</v>
      </c>
      <c r="I301" t="n">
        <v>0.5</v>
      </c>
      <c r="J301" t="n">
        <v>35</v>
      </c>
      <c r="K301" t="n">
        <v>0</v>
      </c>
      <c r="L301" t="n">
        <v>0</v>
      </c>
      <c r="M301" t="n">
        <v>630</v>
      </c>
      <c r="N301" t="n">
        <v>630</v>
      </c>
      <c r="O301" t="n">
        <v>98.5</v>
      </c>
      <c r="P301" t="n">
        <v>0</v>
      </c>
    </row>
    <row r="302">
      <c r="A302" t="n">
        <v>826709</v>
      </c>
      <c r="B302" t="inlineStr">
        <is>
          <t>08-05-2026</t>
        </is>
      </c>
      <c r="C302" t="inlineStr">
        <is>
          <t>S246</t>
        </is>
      </c>
      <c r="D302" t="inlineStr">
        <is>
          <t>SKIDDER</t>
        </is>
      </c>
      <c r="E302" t="inlineStr">
        <is>
          <t>COIHUECO Y OTROS (BB)</t>
        </is>
      </c>
      <c r="F302" t="inlineStr">
        <is>
          <t>PIRA</t>
        </is>
      </c>
      <c r="G302" t="n">
        <v>720</v>
      </c>
      <c r="H302" t="n">
        <v>0</v>
      </c>
      <c r="I302" t="n">
        <v>8</v>
      </c>
      <c r="J302" t="n">
        <v>55</v>
      </c>
      <c r="K302" t="n">
        <v>0</v>
      </c>
      <c r="L302" t="n">
        <v>0</v>
      </c>
      <c r="M302" t="n">
        <v>0</v>
      </c>
      <c r="N302" t="n">
        <v>180</v>
      </c>
      <c r="O302" t="n">
        <v>100</v>
      </c>
      <c r="P302" t="n">
        <v>0</v>
      </c>
    </row>
    <row r="303">
      <c r="A303" t="n">
        <v>826709</v>
      </c>
      <c r="B303" t="inlineStr">
        <is>
          <t>08-05-2026</t>
        </is>
      </c>
      <c r="C303" t="inlineStr">
        <is>
          <t>S246</t>
        </is>
      </c>
      <c r="D303" t="inlineStr">
        <is>
          <t>SKIDDER</t>
        </is>
      </c>
      <c r="E303" t="inlineStr">
        <is>
          <t>COIHUECO Y OTROS (BB)</t>
        </is>
      </c>
      <c r="F303" t="inlineStr">
        <is>
          <t>PIRA</t>
        </is>
      </c>
      <c r="G303" t="n">
        <v>720</v>
      </c>
      <c r="H303" t="n">
        <v>0</v>
      </c>
      <c r="I303" t="n">
        <v>8</v>
      </c>
      <c r="J303" t="n">
        <v>55</v>
      </c>
      <c r="K303" t="n">
        <v>0</v>
      </c>
      <c r="L303" t="n">
        <v>25.48</v>
      </c>
      <c r="M303" t="n">
        <v>0</v>
      </c>
      <c r="N303" t="n">
        <v>180</v>
      </c>
      <c r="O303" t="n">
        <v>100</v>
      </c>
      <c r="P303" t="n">
        <v>3.18</v>
      </c>
    </row>
    <row r="304">
      <c r="A304" t="n">
        <v>826709</v>
      </c>
      <c r="B304" t="inlineStr">
        <is>
          <t>08-05-2026</t>
        </is>
      </c>
      <c r="C304" t="inlineStr">
        <is>
          <t>S246</t>
        </is>
      </c>
      <c r="D304" t="inlineStr">
        <is>
          <t>SKIDDER</t>
        </is>
      </c>
      <c r="E304" t="inlineStr">
        <is>
          <t>COIHUECO Y OTROS (BB)</t>
        </is>
      </c>
      <c r="F304" t="inlineStr">
        <is>
          <t>PIRA</t>
        </is>
      </c>
      <c r="G304" t="n">
        <v>720</v>
      </c>
      <c r="H304" t="n">
        <v>0</v>
      </c>
      <c r="I304" t="n">
        <v>8</v>
      </c>
      <c r="J304" t="n">
        <v>55</v>
      </c>
      <c r="K304" t="n">
        <v>0</v>
      </c>
      <c r="L304" t="n">
        <v>5.13</v>
      </c>
      <c r="M304" t="n">
        <v>0</v>
      </c>
      <c r="N304" t="n">
        <v>180</v>
      </c>
      <c r="O304" t="n">
        <v>100</v>
      </c>
      <c r="P304" t="n">
        <v>0.64</v>
      </c>
    </row>
    <row r="305">
      <c r="A305" t="n">
        <v>826709</v>
      </c>
      <c r="B305" t="inlineStr">
        <is>
          <t>08-05-2026</t>
        </is>
      </c>
      <c r="C305" t="inlineStr">
        <is>
          <t>S246</t>
        </is>
      </c>
      <c r="D305" t="inlineStr">
        <is>
          <t>SKIDDER</t>
        </is>
      </c>
      <c r="E305" t="inlineStr">
        <is>
          <t>COIHUECO Y OTROS (BB)</t>
        </is>
      </c>
      <c r="F305" t="inlineStr">
        <is>
          <t>PIRA</t>
        </is>
      </c>
      <c r="G305" t="n">
        <v>720</v>
      </c>
      <c r="H305" t="n">
        <v>0</v>
      </c>
      <c r="I305" t="n">
        <v>8</v>
      </c>
      <c r="J305" t="n">
        <v>55</v>
      </c>
      <c r="K305" t="n">
        <v>0</v>
      </c>
      <c r="L305" t="n">
        <v>2.79</v>
      </c>
      <c r="M305" t="n">
        <v>0</v>
      </c>
      <c r="N305" t="n">
        <v>180</v>
      </c>
      <c r="O305" t="n">
        <v>100</v>
      </c>
      <c r="P305" t="n">
        <v>0.35</v>
      </c>
    </row>
    <row r="306">
      <c r="A306" t="n">
        <v>826709</v>
      </c>
      <c r="B306" t="inlineStr">
        <is>
          <t>08-05-2026</t>
        </is>
      </c>
      <c r="C306" t="inlineStr">
        <is>
          <t>S246</t>
        </is>
      </c>
      <c r="D306" t="inlineStr">
        <is>
          <t>SKIDDER</t>
        </is>
      </c>
      <c r="E306" t="inlineStr">
        <is>
          <t>COIHUECO Y OTROS (BB)</t>
        </is>
      </c>
      <c r="F306" t="inlineStr">
        <is>
          <t>PIRA</t>
        </is>
      </c>
      <c r="G306" t="n">
        <v>720</v>
      </c>
      <c r="H306" t="n">
        <v>0</v>
      </c>
      <c r="I306" t="n">
        <v>8</v>
      </c>
      <c r="J306" t="n">
        <v>55</v>
      </c>
      <c r="K306" t="n">
        <v>0</v>
      </c>
      <c r="L306" t="n">
        <v>7.87</v>
      </c>
      <c r="M306" t="n">
        <v>0</v>
      </c>
      <c r="N306" t="n">
        <v>180</v>
      </c>
      <c r="O306" t="n">
        <v>100</v>
      </c>
      <c r="P306" t="n">
        <v>0.98</v>
      </c>
    </row>
    <row r="307">
      <c r="A307" t="n">
        <v>826709</v>
      </c>
      <c r="B307" t="inlineStr">
        <is>
          <t>08-05-2026</t>
        </is>
      </c>
      <c r="C307" t="inlineStr">
        <is>
          <t>S246</t>
        </is>
      </c>
      <c r="D307" t="inlineStr">
        <is>
          <t>SKIDDER</t>
        </is>
      </c>
      <c r="E307" t="inlineStr">
        <is>
          <t>COIHUECO Y OTROS (BB)</t>
        </is>
      </c>
      <c r="F307" t="inlineStr">
        <is>
          <t>PIRA</t>
        </is>
      </c>
      <c r="G307" t="n">
        <v>720</v>
      </c>
      <c r="H307" t="n">
        <v>0</v>
      </c>
      <c r="I307" t="n">
        <v>8</v>
      </c>
      <c r="J307" t="n">
        <v>55</v>
      </c>
      <c r="K307" t="n">
        <v>0</v>
      </c>
      <c r="L307" t="n">
        <v>14.01</v>
      </c>
      <c r="M307" t="n">
        <v>0</v>
      </c>
      <c r="N307" t="n">
        <v>180</v>
      </c>
      <c r="O307" t="n">
        <v>100</v>
      </c>
      <c r="P307" t="n">
        <v>1.75</v>
      </c>
    </row>
    <row r="308">
      <c r="A308" t="n">
        <v>826709</v>
      </c>
      <c r="B308" t="inlineStr">
        <is>
          <t>08-05-2026</t>
        </is>
      </c>
      <c r="C308" t="inlineStr">
        <is>
          <t>S246</t>
        </is>
      </c>
      <c r="D308" t="inlineStr">
        <is>
          <t>SKIDDER</t>
        </is>
      </c>
      <c r="E308" t="inlineStr">
        <is>
          <t>COIHUECO Y OTROS (BB)</t>
        </is>
      </c>
      <c r="F308" t="inlineStr">
        <is>
          <t>PIRA</t>
        </is>
      </c>
      <c r="G308" t="n">
        <v>720</v>
      </c>
      <c r="H308" t="n">
        <v>0</v>
      </c>
      <c r="I308" t="n">
        <v>8</v>
      </c>
      <c r="J308" t="n">
        <v>55</v>
      </c>
      <c r="K308" t="n">
        <v>0</v>
      </c>
      <c r="L308" t="n">
        <v>46.4</v>
      </c>
      <c r="M308" t="n">
        <v>0</v>
      </c>
      <c r="N308" t="n">
        <v>180</v>
      </c>
      <c r="O308" t="n">
        <v>100</v>
      </c>
      <c r="P308" t="n">
        <v>5.8</v>
      </c>
    </row>
    <row r="309">
      <c r="A309" t="n">
        <v>826709</v>
      </c>
      <c r="B309" t="inlineStr">
        <is>
          <t>08-05-2026</t>
        </is>
      </c>
      <c r="C309" t="inlineStr">
        <is>
          <t>S246</t>
        </is>
      </c>
      <c r="D309" t="inlineStr">
        <is>
          <t>SKIDDER</t>
        </is>
      </c>
      <c r="E309" t="inlineStr">
        <is>
          <t>COIHUECO Y OTROS (BB)</t>
        </is>
      </c>
      <c r="F309" t="inlineStr">
        <is>
          <t>PIRA</t>
        </is>
      </c>
      <c r="G309" t="n">
        <v>720</v>
      </c>
      <c r="H309" t="n">
        <v>0</v>
      </c>
      <c r="I309" t="n">
        <v>8</v>
      </c>
      <c r="J309" t="n">
        <v>55</v>
      </c>
      <c r="K309" t="n">
        <v>0</v>
      </c>
      <c r="L309" t="n">
        <v>32.48</v>
      </c>
      <c r="M309" t="n">
        <v>0</v>
      </c>
      <c r="N309" t="n">
        <v>180</v>
      </c>
      <c r="O309" t="n">
        <v>100</v>
      </c>
      <c r="P309" t="n">
        <v>4.06</v>
      </c>
    </row>
    <row r="310">
      <c r="A310" t="n">
        <v>826709</v>
      </c>
      <c r="B310" t="inlineStr">
        <is>
          <t>08-05-2026</t>
        </is>
      </c>
      <c r="C310" t="inlineStr">
        <is>
          <t>S246</t>
        </is>
      </c>
      <c r="D310" t="inlineStr">
        <is>
          <t>SKIDDER</t>
        </is>
      </c>
      <c r="E310" t="inlineStr">
        <is>
          <t>COIHUECO Y OTROS (BB)</t>
        </is>
      </c>
      <c r="F310" t="inlineStr">
        <is>
          <t>PIRA</t>
        </is>
      </c>
      <c r="G310" t="n">
        <v>720</v>
      </c>
      <c r="H310" t="n">
        <v>0</v>
      </c>
      <c r="I310" t="n">
        <v>8</v>
      </c>
      <c r="J310" t="n">
        <v>55</v>
      </c>
      <c r="K310" t="n">
        <v>0</v>
      </c>
      <c r="L310" t="n">
        <v>3.67</v>
      </c>
      <c r="M310" t="n">
        <v>0</v>
      </c>
      <c r="N310" t="n">
        <v>180</v>
      </c>
      <c r="O310" t="n">
        <v>100</v>
      </c>
      <c r="P310" t="n">
        <v>0.46</v>
      </c>
    </row>
    <row r="311">
      <c r="A311" t="n">
        <v>826709</v>
      </c>
      <c r="B311" t="inlineStr">
        <is>
          <t>08-05-2026</t>
        </is>
      </c>
      <c r="C311" t="inlineStr">
        <is>
          <t>S246</t>
        </is>
      </c>
      <c r="D311" t="inlineStr">
        <is>
          <t>SKIDDER</t>
        </is>
      </c>
      <c r="E311" t="inlineStr">
        <is>
          <t>COIHUECO Y OTROS (BB)</t>
        </is>
      </c>
      <c r="F311" t="inlineStr">
        <is>
          <t>PIRA</t>
        </is>
      </c>
      <c r="G311" t="n">
        <v>720</v>
      </c>
      <c r="H311" t="n">
        <v>0</v>
      </c>
      <c r="I311" t="n">
        <v>8</v>
      </c>
      <c r="J311" t="n">
        <v>55</v>
      </c>
      <c r="K311" t="n">
        <v>0</v>
      </c>
      <c r="L311" t="n">
        <v>7.72</v>
      </c>
      <c r="M311" t="n">
        <v>0</v>
      </c>
      <c r="N311" t="n">
        <v>180</v>
      </c>
      <c r="O311" t="n">
        <v>100</v>
      </c>
      <c r="P311" t="n">
        <v>0.96</v>
      </c>
    </row>
    <row r="312">
      <c r="A312" t="n">
        <v>826710</v>
      </c>
      <c r="B312" t="inlineStr">
        <is>
          <t>08-05-2026</t>
        </is>
      </c>
      <c r="C312" t="inlineStr">
        <is>
          <t>S58</t>
        </is>
      </c>
      <c r="D312" t="inlineStr">
        <is>
          <t>SKIDDER</t>
        </is>
      </c>
      <c r="E312" t="inlineStr">
        <is>
          <t>COIHUECO Y OTROS (BB)</t>
        </is>
      </c>
      <c r="F312" t="inlineStr">
        <is>
          <t>PIRA</t>
        </is>
      </c>
      <c r="G312" t="n">
        <v>720</v>
      </c>
      <c r="H312" t="n">
        <v>0</v>
      </c>
      <c r="I312" t="n">
        <v>9</v>
      </c>
      <c r="J312" t="n">
        <v>40</v>
      </c>
      <c r="K312" t="n">
        <v>0</v>
      </c>
      <c r="L312" t="n">
        <v>12.13</v>
      </c>
      <c r="M312" t="n">
        <v>120</v>
      </c>
      <c r="N312" t="n">
        <v>120</v>
      </c>
      <c r="O312" t="n">
        <v>99.7</v>
      </c>
      <c r="P312" t="n">
        <v>1.35</v>
      </c>
    </row>
    <row r="313">
      <c r="A313" t="n">
        <v>826710</v>
      </c>
      <c r="B313" t="inlineStr">
        <is>
          <t>08-05-2026</t>
        </is>
      </c>
      <c r="C313" t="inlineStr">
        <is>
          <t>S58</t>
        </is>
      </c>
      <c r="D313" t="inlineStr">
        <is>
          <t>SKIDDER</t>
        </is>
      </c>
      <c r="E313" t="inlineStr">
        <is>
          <t>COIHUECO Y OTROS (BB)</t>
        </is>
      </c>
      <c r="F313" t="inlineStr">
        <is>
          <t>PIRA</t>
        </is>
      </c>
      <c r="G313" t="n">
        <v>720</v>
      </c>
      <c r="H313" t="n">
        <v>0</v>
      </c>
      <c r="I313" t="n">
        <v>9</v>
      </c>
      <c r="J313" t="n">
        <v>40</v>
      </c>
      <c r="K313" t="n">
        <v>0</v>
      </c>
      <c r="L313" t="n">
        <v>7.98</v>
      </c>
      <c r="M313" t="n">
        <v>120</v>
      </c>
      <c r="N313" t="n">
        <v>120</v>
      </c>
      <c r="O313" t="n">
        <v>99.7</v>
      </c>
      <c r="P313" t="n">
        <v>0.89</v>
      </c>
    </row>
    <row r="314">
      <c r="A314" t="n">
        <v>826710</v>
      </c>
      <c r="B314" t="inlineStr">
        <is>
          <t>08-05-2026</t>
        </is>
      </c>
      <c r="C314" t="inlineStr">
        <is>
          <t>S58</t>
        </is>
      </c>
      <c r="D314" t="inlineStr">
        <is>
          <t>SKIDDER</t>
        </is>
      </c>
      <c r="E314" t="inlineStr">
        <is>
          <t>COIHUECO Y OTROS (BB)</t>
        </is>
      </c>
      <c r="F314" t="inlineStr">
        <is>
          <t>PIRA</t>
        </is>
      </c>
      <c r="G314" t="n">
        <v>720</v>
      </c>
      <c r="H314" t="n">
        <v>0</v>
      </c>
      <c r="I314" t="n">
        <v>9</v>
      </c>
      <c r="J314" t="n">
        <v>40</v>
      </c>
      <c r="K314" t="n">
        <v>0</v>
      </c>
      <c r="L314" t="n">
        <v>11.28</v>
      </c>
      <c r="M314" t="n">
        <v>120</v>
      </c>
      <c r="N314" t="n">
        <v>120</v>
      </c>
      <c r="O314" t="n">
        <v>99.7</v>
      </c>
      <c r="P314" t="n">
        <v>1.25</v>
      </c>
    </row>
    <row r="315">
      <c r="A315" t="n">
        <v>826710</v>
      </c>
      <c r="B315" t="inlineStr">
        <is>
          <t>08-05-2026</t>
        </is>
      </c>
      <c r="C315" t="inlineStr">
        <is>
          <t>S58</t>
        </is>
      </c>
      <c r="D315" t="inlineStr">
        <is>
          <t>SKIDDER</t>
        </is>
      </c>
      <c r="E315" t="inlineStr">
        <is>
          <t>COIHUECO Y OTROS (BB)</t>
        </is>
      </c>
      <c r="F315" t="inlineStr">
        <is>
          <t>PIRA</t>
        </is>
      </c>
      <c r="G315" t="n">
        <v>720</v>
      </c>
      <c r="H315" t="n">
        <v>0</v>
      </c>
      <c r="I315" t="n">
        <v>9</v>
      </c>
      <c r="J315" t="n">
        <v>40</v>
      </c>
      <c r="K315" t="n">
        <v>0</v>
      </c>
      <c r="L315" t="n">
        <v>41.6</v>
      </c>
      <c r="M315" t="n">
        <v>120</v>
      </c>
      <c r="N315" t="n">
        <v>120</v>
      </c>
      <c r="O315" t="n">
        <v>99.7</v>
      </c>
      <c r="P315" t="n">
        <v>4.62</v>
      </c>
    </row>
    <row r="316">
      <c r="A316" t="n">
        <v>826710</v>
      </c>
      <c r="B316" t="inlineStr">
        <is>
          <t>08-05-2026</t>
        </is>
      </c>
      <c r="C316" t="inlineStr">
        <is>
          <t>S58</t>
        </is>
      </c>
      <c r="D316" t="inlineStr">
        <is>
          <t>SKIDDER</t>
        </is>
      </c>
      <c r="E316" t="inlineStr">
        <is>
          <t>COIHUECO Y OTROS (BB)</t>
        </is>
      </c>
      <c r="F316" t="inlineStr">
        <is>
          <t>PIRA</t>
        </is>
      </c>
      <c r="G316" t="n">
        <v>720</v>
      </c>
      <c r="H316" t="n">
        <v>0</v>
      </c>
      <c r="I316" t="n">
        <v>9</v>
      </c>
      <c r="J316" t="n">
        <v>40</v>
      </c>
      <c r="K316" t="n">
        <v>0</v>
      </c>
      <c r="L316" t="n">
        <v>55.88</v>
      </c>
      <c r="M316" t="n">
        <v>120</v>
      </c>
      <c r="N316" t="n">
        <v>120</v>
      </c>
      <c r="O316" t="n">
        <v>99.7</v>
      </c>
      <c r="P316" t="n">
        <v>6.21</v>
      </c>
    </row>
    <row r="317">
      <c r="A317" t="n">
        <v>826710</v>
      </c>
      <c r="B317" t="inlineStr">
        <is>
          <t>08-05-2026</t>
        </is>
      </c>
      <c r="C317" t="inlineStr">
        <is>
          <t>S58</t>
        </is>
      </c>
      <c r="D317" t="inlineStr">
        <is>
          <t>SKIDDER</t>
        </is>
      </c>
      <c r="E317" t="inlineStr">
        <is>
          <t>COIHUECO Y OTROS (BB)</t>
        </is>
      </c>
      <c r="F317" t="inlineStr">
        <is>
          <t>PIRA</t>
        </is>
      </c>
      <c r="G317" t="n">
        <v>720</v>
      </c>
      <c r="H317" t="n">
        <v>0</v>
      </c>
      <c r="I317" t="n">
        <v>9</v>
      </c>
      <c r="J317" t="n">
        <v>40</v>
      </c>
      <c r="K317" t="n">
        <v>0</v>
      </c>
      <c r="L317" t="n">
        <v>33.32</v>
      </c>
      <c r="M317" t="n">
        <v>120</v>
      </c>
      <c r="N317" t="n">
        <v>120</v>
      </c>
      <c r="O317" t="n">
        <v>99.7</v>
      </c>
      <c r="P317" t="n">
        <v>3.7</v>
      </c>
    </row>
    <row r="318">
      <c r="A318" t="n">
        <v>826710</v>
      </c>
      <c r="B318" t="inlineStr">
        <is>
          <t>08-05-2026</t>
        </is>
      </c>
      <c r="C318" t="inlineStr">
        <is>
          <t>S58</t>
        </is>
      </c>
      <c r="D318" t="inlineStr">
        <is>
          <t>SKIDDER</t>
        </is>
      </c>
      <c r="E318" t="inlineStr">
        <is>
          <t>COIHUECO Y OTROS (BB)</t>
        </is>
      </c>
      <c r="F318" t="inlineStr">
        <is>
          <t>PIRA</t>
        </is>
      </c>
      <c r="G318" t="n">
        <v>720</v>
      </c>
      <c r="H318" t="n">
        <v>0</v>
      </c>
      <c r="I318" t="n">
        <v>9</v>
      </c>
      <c r="J318" t="n">
        <v>40</v>
      </c>
      <c r="K318" t="n">
        <v>0</v>
      </c>
      <c r="L318" t="n">
        <v>9.24</v>
      </c>
      <c r="M318" t="n">
        <v>120</v>
      </c>
      <c r="N318" t="n">
        <v>120</v>
      </c>
      <c r="O318" t="n">
        <v>99.7</v>
      </c>
      <c r="P318" t="n">
        <v>1.03</v>
      </c>
    </row>
    <row r="319">
      <c r="A319" t="n">
        <v>826710</v>
      </c>
      <c r="B319" t="inlineStr">
        <is>
          <t>08-05-2026</t>
        </is>
      </c>
      <c r="C319" t="inlineStr">
        <is>
          <t>S58</t>
        </is>
      </c>
      <c r="D319" t="inlineStr">
        <is>
          <t>SKIDDER</t>
        </is>
      </c>
      <c r="E319" t="inlineStr">
        <is>
          <t>COIHUECO Y OTROS (BB)</t>
        </is>
      </c>
      <c r="F319" t="inlineStr">
        <is>
          <t>PIRA</t>
        </is>
      </c>
      <c r="G319" t="n">
        <v>720</v>
      </c>
      <c r="H319" t="n">
        <v>0</v>
      </c>
      <c r="I319" t="n">
        <v>9</v>
      </c>
      <c r="J319" t="n">
        <v>40</v>
      </c>
      <c r="K319" t="n">
        <v>0</v>
      </c>
      <c r="L319" t="n">
        <v>35.1</v>
      </c>
      <c r="M319" t="n">
        <v>120</v>
      </c>
      <c r="N319" t="n">
        <v>120</v>
      </c>
      <c r="O319" t="n">
        <v>99.7</v>
      </c>
      <c r="P319" t="n">
        <v>3.9</v>
      </c>
    </row>
    <row r="320">
      <c r="A320" t="n">
        <v>826714</v>
      </c>
      <c r="B320" t="inlineStr">
        <is>
          <t>08-05-2026</t>
        </is>
      </c>
      <c r="C320" t="inlineStr">
        <is>
          <t>T125</t>
        </is>
      </c>
      <c r="D320" t="inlineStr">
        <is>
          <t>TORRE500</t>
        </is>
      </c>
      <c r="E320" t="inlineStr">
        <is>
          <t>POLHUIN</t>
        </is>
      </c>
      <c r="F320" t="inlineStr">
        <is>
          <t>EUGL</t>
        </is>
      </c>
      <c r="G320" t="n">
        <v>720</v>
      </c>
      <c r="H320" t="n">
        <v>0</v>
      </c>
      <c r="I320" t="n">
        <v>9</v>
      </c>
      <c r="J320" t="n">
        <v>101</v>
      </c>
      <c r="K320" t="n">
        <v>0</v>
      </c>
      <c r="L320" t="n">
        <v>7.63</v>
      </c>
      <c r="M320" t="n">
        <v>0</v>
      </c>
      <c r="N320" t="n">
        <v>120</v>
      </c>
      <c r="O320" t="n">
        <v>100</v>
      </c>
      <c r="P320" t="n">
        <v>0.85</v>
      </c>
    </row>
    <row r="321">
      <c r="A321" t="n">
        <v>826714</v>
      </c>
      <c r="B321" t="inlineStr">
        <is>
          <t>08-05-2026</t>
        </is>
      </c>
      <c r="C321" t="inlineStr">
        <is>
          <t>T125</t>
        </is>
      </c>
      <c r="D321" t="inlineStr">
        <is>
          <t>TORRE500</t>
        </is>
      </c>
      <c r="E321" t="inlineStr">
        <is>
          <t>POLHUIN</t>
        </is>
      </c>
      <c r="F321" t="inlineStr">
        <is>
          <t>EUGL</t>
        </is>
      </c>
      <c r="G321" t="n">
        <v>720</v>
      </c>
      <c r="H321" t="n">
        <v>0</v>
      </c>
      <c r="I321" t="n">
        <v>9</v>
      </c>
      <c r="J321" t="n">
        <v>101</v>
      </c>
      <c r="K321" t="n">
        <v>0</v>
      </c>
      <c r="L321" t="n">
        <v>141.51</v>
      </c>
      <c r="M321" t="n">
        <v>0</v>
      </c>
      <c r="N321" t="n">
        <v>120</v>
      </c>
      <c r="O321" t="n">
        <v>100</v>
      </c>
      <c r="P321" t="n">
        <v>15.72</v>
      </c>
    </row>
    <row r="322">
      <c r="A322" t="n">
        <v>826739</v>
      </c>
      <c r="B322" t="inlineStr">
        <is>
          <t>08-05-2026</t>
        </is>
      </c>
      <c r="C322" t="inlineStr">
        <is>
          <t>S223</t>
        </is>
      </c>
      <c r="D322" t="inlineStr">
        <is>
          <t>SKIDDER</t>
        </is>
      </c>
      <c r="E322" t="inlineStr">
        <is>
          <t>LAS ULLOAS (BB)</t>
        </is>
      </c>
      <c r="F322" t="inlineStr">
        <is>
          <t>PIRA</t>
        </is>
      </c>
      <c r="G322" t="n">
        <v>720</v>
      </c>
      <c r="H322" t="n">
        <v>0</v>
      </c>
      <c r="I322" t="n">
        <v>8</v>
      </c>
      <c r="J322" t="n">
        <v>50</v>
      </c>
      <c r="K322" t="n">
        <v>0</v>
      </c>
      <c r="L322" t="n">
        <v>3.71</v>
      </c>
      <c r="M322" t="n">
        <v>0</v>
      </c>
      <c r="N322" t="n">
        <v>180</v>
      </c>
      <c r="O322" t="n">
        <v>100</v>
      </c>
      <c r="P322" t="n">
        <v>0.46</v>
      </c>
    </row>
    <row r="323">
      <c r="A323" t="n">
        <v>826739</v>
      </c>
      <c r="B323" t="inlineStr">
        <is>
          <t>08-05-2026</t>
        </is>
      </c>
      <c r="C323" t="inlineStr">
        <is>
          <t>S223</t>
        </is>
      </c>
      <c r="D323" t="inlineStr">
        <is>
          <t>SKIDDER</t>
        </is>
      </c>
      <c r="E323" t="inlineStr">
        <is>
          <t>LAS ULLOAS (BB)</t>
        </is>
      </c>
      <c r="F323" t="inlineStr">
        <is>
          <t>PIRA</t>
        </is>
      </c>
      <c r="G323" t="n">
        <v>720</v>
      </c>
      <c r="H323" t="n">
        <v>0</v>
      </c>
      <c r="I323" t="n">
        <v>8</v>
      </c>
      <c r="J323" t="n">
        <v>50</v>
      </c>
      <c r="K323" t="n">
        <v>0</v>
      </c>
      <c r="L323" t="n">
        <v>15.09</v>
      </c>
      <c r="M323" t="n">
        <v>0</v>
      </c>
      <c r="N323" t="n">
        <v>180</v>
      </c>
      <c r="O323" t="n">
        <v>100</v>
      </c>
      <c r="P323" t="n">
        <v>1.89</v>
      </c>
    </row>
    <row r="324">
      <c r="A324" t="n">
        <v>826739</v>
      </c>
      <c r="B324" t="inlineStr">
        <is>
          <t>08-05-2026</t>
        </is>
      </c>
      <c r="C324" t="inlineStr">
        <is>
          <t>S223</t>
        </is>
      </c>
      <c r="D324" t="inlineStr">
        <is>
          <t>SKIDDER</t>
        </is>
      </c>
      <c r="E324" t="inlineStr">
        <is>
          <t>LAS ULLOAS (BB)</t>
        </is>
      </c>
      <c r="F324" t="inlineStr">
        <is>
          <t>PIRA</t>
        </is>
      </c>
      <c r="G324" t="n">
        <v>720</v>
      </c>
      <c r="H324" t="n">
        <v>0</v>
      </c>
      <c r="I324" t="n">
        <v>8</v>
      </c>
      <c r="J324" t="n">
        <v>50</v>
      </c>
      <c r="K324" t="n">
        <v>0</v>
      </c>
      <c r="L324" t="n">
        <v>18.32</v>
      </c>
      <c r="M324" t="n">
        <v>0</v>
      </c>
      <c r="N324" t="n">
        <v>180</v>
      </c>
      <c r="O324" t="n">
        <v>100</v>
      </c>
      <c r="P324" t="n">
        <v>2.29</v>
      </c>
    </row>
    <row r="325">
      <c r="A325" t="n">
        <v>826739</v>
      </c>
      <c r="B325" t="inlineStr">
        <is>
          <t>08-05-2026</t>
        </is>
      </c>
      <c r="C325" t="inlineStr">
        <is>
          <t>S223</t>
        </is>
      </c>
      <c r="D325" t="inlineStr">
        <is>
          <t>SKIDDER</t>
        </is>
      </c>
      <c r="E325" t="inlineStr">
        <is>
          <t>LAS ULLOAS (BB)</t>
        </is>
      </c>
      <c r="F325" t="inlineStr">
        <is>
          <t>PIRA</t>
        </is>
      </c>
      <c r="G325" t="n">
        <v>720</v>
      </c>
      <c r="H325" t="n">
        <v>0</v>
      </c>
      <c r="I325" t="n">
        <v>8</v>
      </c>
      <c r="J325" t="n">
        <v>50</v>
      </c>
      <c r="K325" t="n">
        <v>0</v>
      </c>
      <c r="L325" t="n">
        <v>49.9</v>
      </c>
      <c r="M325" t="n">
        <v>0</v>
      </c>
      <c r="N325" t="n">
        <v>180</v>
      </c>
      <c r="O325" t="n">
        <v>100</v>
      </c>
      <c r="P325" t="n">
        <v>6.24</v>
      </c>
    </row>
    <row r="326">
      <c r="A326" t="n">
        <v>826753</v>
      </c>
      <c r="B326" t="inlineStr">
        <is>
          <t>08-05-2026</t>
        </is>
      </c>
      <c r="C326" t="inlineStr">
        <is>
          <t>S123</t>
        </is>
      </c>
      <c r="D326" t="inlineStr">
        <is>
          <t>SKIDDER</t>
        </is>
      </c>
      <c r="E326" t="inlineStr">
        <is>
          <t>EL CABRITO CBB</t>
        </is>
      </c>
      <c r="F326" t="inlineStr">
        <is>
          <t>PIRA</t>
        </is>
      </c>
      <c r="G326" t="n">
        <v>540</v>
      </c>
      <c r="H326" t="n">
        <v>0</v>
      </c>
      <c r="I326" t="n">
        <v>6</v>
      </c>
      <c r="J326" t="n">
        <v>33</v>
      </c>
      <c r="K326" t="n">
        <v>0</v>
      </c>
      <c r="L326" t="n">
        <v>11.2</v>
      </c>
      <c r="M326" t="n">
        <v>0</v>
      </c>
      <c r="N326" t="n">
        <v>150</v>
      </c>
      <c r="O326" t="n">
        <v>100</v>
      </c>
      <c r="P326" t="n">
        <v>1.87</v>
      </c>
    </row>
    <row r="327">
      <c r="A327" t="n">
        <v>826753</v>
      </c>
      <c r="B327" t="inlineStr">
        <is>
          <t>08-05-2026</t>
        </is>
      </c>
      <c r="C327" t="inlineStr">
        <is>
          <t>S123</t>
        </is>
      </c>
      <c r="D327" t="inlineStr">
        <is>
          <t>SKIDDER</t>
        </is>
      </c>
      <c r="E327" t="inlineStr">
        <is>
          <t>EL CABRITO CBB</t>
        </is>
      </c>
      <c r="F327" t="inlineStr">
        <is>
          <t>PIRA</t>
        </is>
      </c>
      <c r="G327" t="n">
        <v>540</v>
      </c>
      <c r="H327" t="n">
        <v>0</v>
      </c>
      <c r="I327" t="n">
        <v>6</v>
      </c>
      <c r="J327" t="n">
        <v>33</v>
      </c>
      <c r="K327" t="n">
        <v>0</v>
      </c>
      <c r="L327" t="n">
        <v>12.69</v>
      </c>
      <c r="M327" t="n">
        <v>0</v>
      </c>
      <c r="N327" t="n">
        <v>150</v>
      </c>
      <c r="O327" t="n">
        <v>100</v>
      </c>
      <c r="P327" t="n">
        <v>2.12</v>
      </c>
    </row>
    <row r="328">
      <c r="A328" t="n">
        <v>826753</v>
      </c>
      <c r="B328" t="inlineStr">
        <is>
          <t>08-05-2026</t>
        </is>
      </c>
      <c r="C328" t="inlineStr">
        <is>
          <t>S123</t>
        </is>
      </c>
      <c r="D328" t="inlineStr">
        <is>
          <t>SKIDDER</t>
        </is>
      </c>
      <c r="E328" t="inlineStr">
        <is>
          <t>EL CABRITO CBB</t>
        </is>
      </c>
      <c r="F328" t="inlineStr">
        <is>
          <t>PIRA</t>
        </is>
      </c>
      <c r="G328" t="n">
        <v>540</v>
      </c>
      <c r="H328" t="n">
        <v>0</v>
      </c>
      <c r="I328" t="n">
        <v>6</v>
      </c>
      <c r="J328" t="n">
        <v>33</v>
      </c>
      <c r="K328" t="n">
        <v>0</v>
      </c>
      <c r="L328" t="n">
        <v>19.89</v>
      </c>
      <c r="M328" t="n">
        <v>0</v>
      </c>
      <c r="N328" t="n">
        <v>150</v>
      </c>
      <c r="O328" t="n">
        <v>100</v>
      </c>
      <c r="P328" t="n">
        <v>3.32</v>
      </c>
    </row>
    <row r="329">
      <c r="A329" t="n">
        <v>826753</v>
      </c>
      <c r="B329" t="inlineStr">
        <is>
          <t>08-05-2026</t>
        </is>
      </c>
      <c r="C329" t="inlineStr">
        <is>
          <t>S123</t>
        </is>
      </c>
      <c r="D329" t="inlineStr">
        <is>
          <t>SKIDDER</t>
        </is>
      </c>
      <c r="E329" t="inlineStr">
        <is>
          <t>EL CABRITO CBB</t>
        </is>
      </c>
      <c r="F329" t="inlineStr">
        <is>
          <t>PIRA</t>
        </is>
      </c>
      <c r="G329" t="n">
        <v>540</v>
      </c>
      <c r="H329" t="n">
        <v>0</v>
      </c>
      <c r="I329" t="n">
        <v>6</v>
      </c>
      <c r="J329" t="n">
        <v>33</v>
      </c>
      <c r="K329" t="n">
        <v>0</v>
      </c>
      <c r="L329" t="n">
        <v>0</v>
      </c>
      <c r="M329" t="n">
        <v>0</v>
      </c>
      <c r="N329" t="n">
        <v>150</v>
      </c>
      <c r="O329" t="n">
        <v>100</v>
      </c>
      <c r="P329" t="n">
        <v>0</v>
      </c>
    </row>
    <row r="330">
      <c r="A330" t="n">
        <v>826753</v>
      </c>
      <c r="B330" t="inlineStr">
        <is>
          <t>08-05-2026</t>
        </is>
      </c>
      <c r="C330" t="inlineStr">
        <is>
          <t>S123</t>
        </is>
      </c>
      <c r="D330" t="inlineStr">
        <is>
          <t>SKIDDER</t>
        </is>
      </c>
      <c r="E330" t="inlineStr">
        <is>
          <t>EL CABRITO CBB</t>
        </is>
      </c>
      <c r="F330" t="inlineStr">
        <is>
          <t>PIRA</t>
        </is>
      </c>
      <c r="G330" t="n">
        <v>540</v>
      </c>
      <c r="H330" t="n">
        <v>0</v>
      </c>
      <c r="I330" t="n">
        <v>6</v>
      </c>
      <c r="J330" t="n">
        <v>33</v>
      </c>
      <c r="K330" t="n">
        <v>0</v>
      </c>
      <c r="L330" t="n">
        <v>31.92</v>
      </c>
      <c r="M330" t="n">
        <v>0</v>
      </c>
      <c r="N330" t="n">
        <v>150</v>
      </c>
      <c r="O330" t="n">
        <v>100</v>
      </c>
      <c r="P330" t="n">
        <v>5.32</v>
      </c>
    </row>
    <row r="331">
      <c r="A331" t="n">
        <v>826753</v>
      </c>
      <c r="B331" t="inlineStr">
        <is>
          <t>08-05-2026</t>
        </is>
      </c>
      <c r="C331" t="inlineStr">
        <is>
          <t>S123</t>
        </is>
      </c>
      <c r="D331" t="inlineStr">
        <is>
          <t>SKIDDER</t>
        </is>
      </c>
      <c r="E331" t="inlineStr">
        <is>
          <t>EL CABRITO CBB</t>
        </is>
      </c>
      <c r="F331" t="inlineStr">
        <is>
          <t>PIRA</t>
        </is>
      </c>
      <c r="G331" t="n">
        <v>540</v>
      </c>
      <c r="H331" t="n">
        <v>0</v>
      </c>
      <c r="I331" t="n">
        <v>6</v>
      </c>
      <c r="J331" t="n">
        <v>33</v>
      </c>
      <c r="K331" t="n">
        <v>0</v>
      </c>
      <c r="L331" t="n">
        <v>16.82</v>
      </c>
      <c r="M331" t="n">
        <v>0</v>
      </c>
      <c r="N331" t="n">
        <v>150</v>
      </c>
      <c r="O331" t="n">
        <v>100</v>
      </c>
      <c r="P331" t="n">
        <v>2.8</v>
      </c>
    </row>
    <row r="332">
      <c r="A332" t="n">
        <v>826753</v>
      </c>
      <c r="B332" t="inlineStr">
        <is>
          <t>08-05-2026</t>
        </is>
      </c>
      <c r="C332" t="inlineStr">
        <is>
          <t>S123</t>
        </is>
      </c>
      <c r="D332" t="inlineStr">
        <is>
          <t>SKIDDER</t>
        </is>
      </c>
      <c r="E332" t="inlineStr">
        <is>
          <t>EL CABRITO CBB</t>
        </is>
      </c>
      <c r="F332" t="inlineStr">
        <is>
          <t>PIRA</t>
        </is>
      </c>
      <c r="G332" t="n">
        <v>540</v>
      </c>
      <c r="H332" t="n">
        <v>0</v>
      </c>
      <c r="I332" t="n">
        <v>6</v>
      </c>
      <c r="J332" t="n">
        <v>33</v>
      </c>
      <c r="K332" t="n">
        <v>0</v>
      </c>
      <c r="L332" t="n">
        <v>6.93</v>
      </c>
      <c r="M332" t="n">
        <v>0</v>
      </c>
      <c r="N332" t="n">
        <v>150</v>
      </c>
      <c r="O332" t="n">
        <v>100</v>
      </c>
      <c r="P332" t="n">
        <v>1.16</v>
      </c>
    </row>
    <row r="333">
      <c r="A333" t="n">
        <v>826753</v>
      </c>
      <c r="B333" t="inlineStr">
        <is>
          <t>08-05-2026</t>
        </is>
      </c>
      <c r="C333" t="inlineStr">
        <is>
          <t>S123</t>
        </is>
      </c>
      <c r="D333" t="inlineStr">
        <is>
          <t>SKIDDER</t>
        </is>
      </c>
      <c r="E333" t="inlineStr">
        <is>
          <t>EL CABRITO CBB</t>
        </is>
      </c>
      <c r="F333" t="inlineStr">
        <is>
          <t>PIRA</t>
        </is>
      </c>
      <c r="G333" t="n">
        <v>540</v>
      </c>
      <c r="H333" t="n">
        <v>0</v>
      </c>
      <c r="I333" t="n">
        <v>6</v>
      </c>
      <c r="J333" t="n">
        <v>33</v>
      </c>
      <c r="K333" t="n">
        <v>0</v>
      </c>
      <c r="L333" t="n">
        <v>0</v>
      </c>
      <c r="M333" t="n">
        <v>0</v>
      </c>
      <c r="N333" t="n">
        <v>150</v>
      </c>
      <c r="O333" t="n">
        <v>100</v>
      </c>
      <c r="P333" t="n">
        <v>0</v>
      </c>
    </row>
    <row r="334">
      <c r="A334" t="n">
        <v>826753</v>
      </c>
      <c r="B334" t="inlineStr">
        <is>
          <t>08-05-2026</t>
        </is>
      </c>
      <c r="C334" t="inlineStr">
        <is>
          <t>S123</t>
        </is>
      </c>
      <c r="D334" t="inlineStr">
        <is>
          <t>SKIDDER</t>
        </is>
      </c>
      <c r="E334" t="inlineStr">
        <is>
          <t>EL CABRITO CBB</t>
        </is>
      </c>
      <c r="F334" t="inlineStr">
        <is>
          <t>PIRA</t>
        </is>
      </c>
      <c r="G334" t="n">
        <v>540</v>
      </c>
      <c r="H334" t="n">
        <v>0</v>
      </c>
      <c r="I334" t="n">
        <v>6</v>
      </c>
      <c r="J334" t="n">
        <v>33</v>
      </c>
      <c r="K334" t="n">
        <v>0</v>
      </c>
      <c r="L334" t="n">
        <v>26.54</v>
      </c>
      <c r="M334" t="n">
        <v>0</v>
      </c>
      <c r="N334" t="n">
        <v>150</v>
      </c>
      <c r="O334" t="n">
        <v>100</v>
      </c>
      <c r="P334" t="n">
        <v>4.42</v>
      </c>
    </row>
    <row r="335">
      <c r="A335" t="n">
        <v>826756</v>
      </c>
      <c r="B335" t="inlineStr">
        <is>
          <t>08-05-2026</t>
        </is>
      </c>
      <c r="C335" t="inlineStr">
        <is>
          <t>S123</t>
        </is>
      </c>
      <c r="D335" t="inlineStr">
        <is>
          <t>SKIDDER</t>
        </is>
      </c>
      <c r="E335" t="inlineStr">
        <is>
          <t>EL CABRITO CBB</t>
        </is>
      </c>
      <c r="F335" t="inlineStr">
        <is>
          <t>PIRA</t>
        </is>
      </c>
      <c r="G335" t="n">
        <v>180</v>
      </c>
      <c r="H335" t="n">
        <v>0</v>
      </c>
      <c r="I335" t="n">
        <v>2.2</v>
      </c>
      <c r="J335" t="n">
        <v>24</v>
      </c>
      <c r="K335" t="n">
        <v>0</v>
      </c>
      <c r="L335" t="n">
        <v>0</v>
      </c>
      <c r="M335" t="n">
        <v>0</v>
      </c>
      <c r="N335" t="n">
        <v>15</v>
      </c>
      <c r="O335" t="n">
        <v>100</v>
      </c>
      <c r="P335" t="n">
        <v>0</v>
      </c>
    </row>
    <row r="336">
      <c r="A336" t="n">
        <v>826756</v>
      </c>
      <c r="B336" t="inlineStr">
        <is>
          <t>08-05-2026</t>
        </is>
      </c>
      <c r="C336" t="inlineStr">
        <is>
          <t>S123</t>
        </is>
      </c>
      <c r="D336" t="inlineStr">
        <is>
          <t>SKIDDER</t>
        </is>
      </c>
      <c r="E336" t="inlineStr">
        <is>
          <t>EL CABRITO CBB</t>
        </is>
      </c>
      <c r="F336" t="inlineStr">
        <is>
          <t>PIRA</t>
        </is>
      </c>
      <c r="G336" t="n">
        <v>180</v>
      </c>
      <c r="H336" t="n">
        <v>0</v>
      </c>
      <c r="I336" t="n">
        <v>2.2</v>
      </c>
      <c r="J336" t="n">
        <v>24</v>
      </c>
      <c r="K336" t="n">
        <v>0</v>
      </c>
      <c r="L336" t="n">
        <v>53.71</v>
      </c>
      <c r="M336" t="n">
        <v>0</v>
      </c>
      <c r="N336" t="n">
        <v>15</v>
      </c>
      <c r="O336" t="n">
        <v>100</v>
      </c>
      <c r="P336" t="n">
        <v>23.87</v>
      </c>
    </row>
    <row r="337">
      <c r="A337" t="n">
        <v>826756</v>
      </c>
      <c r="B337" t="inlineStr">
        <is>
          <t>08-05-2026</t>
        </is>
      </c>
      <c r="C337" t="inlineStr">
        <is>
          <t>S123</t>
        </is>
      </c>
      <c r="D337" t="inlineStr">
        <is>
          <t>SKIDDER</t>
        </is>
      </c>
      <c r="E337" t="inlineStr">
        <is>
          <t>EL CABRITO CBB</t>
        </is>
      </c>
      <c r="F337" t="inlineStr">
        <is>
          <t>PIRA</t>
        </is>
      </c>
      <c r="G337" t="n">
        <v>180</v>
      </c>
      <c r="H337" t="n">
        <v>0</v>
      </c>
      <c r="I337" t="n">
        <v>2.2</v>
      </c>
      <c r="J337" t="n">
        <v>24</v>
      </c>
      <c r="K337" t="n">
        <v>0</v>
      </c>
      <c r="L337" t="n">
        <v>14.32</v>
      </c>
      <c r="M337" t="n">
        <v>0</v>
      </c>
      <c r="N337" t="n">
        <v>15</v>
      </c>
      <c r="O337" t="n">
        <v>100</v>
      </c>
      <c r="P337" t="n">
        <v>6.37</v>
      </c>
    </row>
    <row r="338">
      <c r="A338" t="n">
        <v>826757</v>
      </c>
      <c r="B338" t="inlineStr">
        <is>
          <t>08-05-2026</t>
        </is>
      </c>
      <c r="C338" t="inlineStr">
        <is>
          <t>MG5</t>
        </is>
      </c>
      <c r="D338" t="inlineStr">
        <is>
          <t>GRAPPLE</t>
        </is>
      </c>
      <c r="E338" t="inlineStr">
        <is>
          <t>CE-27 ESPINALILLO YBAR</t>
        </is>
      </c>
      <c r="F338" t="inlineStr">
        <is>
          <t>PIRA</t>
        </is>
      </c>
      <c r="G338" t="n">
        <v>720</v>
      </c>
      <c r="H338" t="n">
        <v>0</v>
      </c>
      <c r="I338" t="n">
        <v>10.5</v>
      </c>
      <c r="J338" t="n">
        <v>49</v>
      </c>
      <c r="K338" t="n">
        <v>0</v>
      </c>
      <c r="L338" t="n">
        <v>25.2</v>
      </c>
      <c r="M338" t="n">
        <v>0</v>
      </c>
      <c r="N338" t="n">
        <v>30</v>
      </c>
      <c r="O338" t="n">
        <v>100</v>
      </c>
      <c r="P338" t="n">
        <v>2.4</v>
      </c>
    </row>
    <row r="339">
      <c r="A339" t="n">
        <v>826757</v>
      </c>
      <c r="B339" t="inlineStr">
        <is>
          <t>08-05-2026</t>
        </is>
      </c>
      <c r="C339" t="inlineStr">
        <is>
          <t>MG5</t>
        </is>
      </c>
      <c r="D339" t="inlineStr">
        <is>
          <t>GRAPPLE</t>
        </is>
      </c>
      <c r="E339" t="inlineStr">
        <is>
          <t>CE-27 ESPINALILLO YBAR</t>
        </is>
      </c>
      <c r="F339" t="inlineStr">
        <is>
          <t>PIRA</t>
        </is>
      </c>
      <c r="G339" t="n">
        <v>720</v>
      </c>
      <c r="H339" t="n">
        <v>0</v>
      </c>
      <c r="I339" t="n">
        <v>10.5</v>
      </c>
      <c r="J339" t="n">
        <v>49</v>
      </c>
      <c r="K339" t="n">
        <v>0</v>
      </c>
      <c r="L339" t="n">
        <v>38.34</v>
      </c>
      <c r="M339" t="n">
        <v>0</v>
      </c>
      <c r="N339" t="n">
        <v>30</v>
      </c>
      <c r="O339" t="n">
        <v>100</v>
      </c>
      <c r="P339" t="n">
        <v>3.65</v>
      </c>
    </row>
    <row r="340">
      <c r="A340" t="n">
        <v>826757</v>
      </c>
      <c r="B340" t="inlineStr">
        <is>
          <t>08-05-2026</t>
        </is>
      </c>
      <c r="C340" t="inlineStr">
        <is>
          <t>MG5</t>
        </is>
      </c>
      <c r="D340" t="inlineStr">
        <is>
          <t>GRAPPLE</t>
        </is>
      </c>
      <c r="E340" t="inlineStr">
        <is>
          <t>CE-27 ESPINALILLO YBAR</t>
        </is>
      </c>
      <c r="F340" t="inlineStr">
        <is>
          <t>PIRA</t>
        </is>
      </c>
      <c r="G340" t="n">
        <v>720</v>
      </c>
      <c r="H340" t="n">
        <v>0</v>
      </c>
      <c r="I340" t="n">
        <v>10.5</v>
      </c>
      <c r="J340" t="n">
        <v>49</v>
      </c>
      <c r="K340" t="n">
        <v>0</v>
      </c>
      <c r="L340" t="n">
        <v>53.77</v>
      </c>
      <c r="M340" t="n">
        <v>0</v>
      </c>
      <c r="N340" t="n">
        <v>30</v>
      </c>
      <c r="O340" t="n">
        <v>100</v>
      </c>
      <c r="P340" t="n">
        <v>5.12</v>
      </c>
    </row>
    <row r="341">
      <c r="A341" t="n">
        <v>826766</v>
      </c>
      <c r="B341" t="inlineStr">
        <is>
          <t>08-05-2026</t>
        </is>
      </c>
      <c r="C341" t="inlineStr">
        <is>
          <t>TEA02</t>
        </is>
      </c>
      <c r="D341" t="inlineStr">
        <is>
          <t>FORWINCH</t>
        </is>
      </c>
      <c r="E341" t="inlineStr">
        <is>
          <t>COIHUECO Y OTROS (BB)</t>
        </is>
      </c>
      <c r="F341" t="inlineStr">
        <is>
          <t>PIRA</t>
        </is>
      </c>
      <c r="G341" t="n">
        <v>720</v>
      </c>
      <c r="H341" t="n">
        <v>0</v>
      </c>
      <c r="I341" t="n">
        <v>9</v>
      </c>
      <c r="J341" t="n">
        <v>52</v>
      </c>
      <c r="K341" t="n">
        <v>0</v>
      </c>
      <c r="L341" t="n">
        <v>6.34</v>
      </c>
      <c r="M341" t="n">
        <v>0</v>
      </c>
      <c r="N341" t="n">
        <v>120</v>
      </c>
      <c r="O341" t="n">
        <v>100</v>
      </c>
      <c r="P341" t="n">
        <v>0.7</v>
      </c>
    </row>
    <row r="342">
      <c r="A342" t="n">
        <v>826766</v>
      </c>
      <c r="B342" t="inlineStr">
        <is>
          <t>08-05-2026</t>
        </is>
      </c>
      <c r="C342" t="inlineStr">
        <is>
          <t>TEA02</t>
        </is>
      </c>
      <c r="D342" t="inlineStr">
        <is>
          <t>FORWINCH</t>
        </is>
      </c>
      <c r="E342" t="inlineStr">
        <is>
          <t>COIHUECO Y OTROS (BB)</t>
        </is>
      </c>
      <c r="F342" t="inlineStr">
        <is>
          <t>PIRA</t>
        </is>
      </c>
      <c r="G342" t="n">
        <v>720</v>
      </c>
      <c r="H342" t="n">
        <v>0</v>
      </c>
      <c r="I342" t="n">
        <v>9</v>
      </c>
      <c r="J342" t="n">
        <v>52</v>
      </c>
      <c r="K342" t="n">
        <v>0</v>
      </c>
      <c r="L342" t="n">
        <v>15.36</v>
      </c>
      <c r="M342" t="n">
        <v>0</v>
      </c>
      <c r="N342" t="n">
        <v>120</v>
      </c>
      <c r="O342" t="n">
        <v>100</v>
      </c>
      <c r="P342" t="n">
        <v>1.71</v>
      </c>
    </row>
    <row r="343">
      <c r="A343" t="n">
        <v>826766</v>
      </c>
      <c r="B343" t="inlineStr">
        <is>
          <t>08-05-2026</t>
        </is>
      </c>
      <c r="C343" t="inlineStr">
        <is>
          <t>TEA02</t>
        </is>
      </c>
      <c r="D343" t="inlineStr">
        <is>
          <t>FORWINCH</t>
        </is>
      </c>
      <c r="E343" t="inlineStr">
        <is>
          <t>COIHUECO Y OTROS (BB)</t>
        </is>
      </c>
      <c r="F343" t="inlineStr">
        <is>
          <t>PIRA</t>
        </is>
      </c>
      <c r="G343" t="n">
        <v>720</v>
      </c>
      <c r="H343" t="n">
        <v>0</v>
      </c>
      <c r="I343" t="n">
        <v>9</v>
      </c>
      <c r="J343" t="n">
        <v>52</v>
      </c>
      <c r="K343" t="n">
        <v>0</v>
      </c>
      <c r="L343" t="n">
        <v>34.54</v>
      </c>
      <c r="M343" t="n">
        <v>0</v>
      </c>
      <c r="N343" t="n">
        <v>120</v>
      </c>
      <c r="O343" t="n">
        <v>100</v>
      </c>
      <c r="P343" t="n">
        <v>3.84</v>
      </c>
    </row>
    <row r="344">
      <c r="A344" t="n">
        <v>826766</v>
      </c>
      <c r="B344" t="inlineStr">
        <is>
          <t>08-05-2026</t>
        </is>
      </c>
      <c r="C344" t="inlineStr">
        <is>
          <t>TEA02</t>
        </is>
      </c>
      <c r="D344" t="inlineStr">
        <is>
          <t>FORWINCH</t>
        </is>
      </c>
      <c r="E344" t="inlineStr">
        <is>
          <t>COIHUECO Y OTROS (BB)</t>
        </is>
      </c>
      <c r="F344" t="inlineStr">
        <is>
          <t>PIRA</t>
        </is>
      </c>
      <c r="G344" t="n">
        <v>720</v>
      </c>
      <c r="H344" t="n">
        <v>0</v>
      </c>
      <c r="I344" t="n">
        <v>9</v>
      </c>
      <c r="J344" t="n">
        <v>52</v>
      </c>
      <c r="K344" t="n">
        <v>0</v>
      </c>
      <c r="L344" t="n">
        <v>9.25</v>
      </c>
      <c r="M344" t="n">
        <v>0</v>
      </c>
      <c r="N344" t="n">
        <v>120</v>
      </c>
      <c r="O344" t="n">
        <v>100</v>
      </c>
      <c r="P344" t="n">
        <v>1.03</v>
      </c>
    </row>
    <row r="345">
      <c r="A345" t="n">
        <v>826766</v>
      </c>
      <c r="B345" t="inlineStr">
        <is>
          <t>08-05-2026</t>
        </is>
      </c>
      <c r="C345" t="inlineStr">
        <is>
          <t>TEA02</t>
        </is>
      </c>
      <c r="D345" t="inlineStr">
        <is>
          <t>FORWINCH</t>
        </is>
      </c>
      <c r="E345" t="inlineStr">
        <is>
          <t>COIHUECO Y OTROS (BB)</t>
        </is>
      </c>
      <c r="F345" t="inlineStr">
        <is>
          <t>PIRA</t>
        </is>
      </c>
      <c r="G345" t="n">
        <v>720</v>
      </c>
      <c r="H345" t="n">
        <v>0</v>
      </c>
      <c r="I345" t="n">
        <v>9</v>
      </c>
      <c r="J345" t="n">
        <v>52</v>
      </c>
      <c r="K345" t="n">
        <v>0</v>
      </c>
      <c r="L345" t="n">
        <v>26.45</v>
      </c>
      <c r="M345" t="n">
        <v>0</v>
      </c>
      <c r="N345" t="n">
        <v>120</v>
      </c>
      <c r="O345" t="n">
        <v>100</v>
      </c>
      <c r="P345" t="n">
        <v>2.94</v>
      </c>
    </row>
    <row r="346">
      <c r="A346" t="n">
        <v>826766</v>
      </c>
      <c r="B346" t="inlineStr">
        <is>
          <t>08-05-2026</t>
        </is>
      </c>
      <c r="C346" t="inlineStr">
        <is>
          <t>TEA02</t>
        </is>
      </c>
      <c r="D346" t="inlineStr">
        <is>
          <t>FORWINCH</t>
        </is>
      </c>
      <c r="E346" t="inlineStr">
        <is>
          <t>COIHUECO Y OTROS (BB)</t>
        </is>
      </c>
      <c r="F346" t="inlineStr">
        <is>
          <t>PIRA</t>
        </is>
      </c>
      <c r="G346" t="n">
        <v>720</v>
      </c>
      <c r="H346" t="n">
        <v>0</v>
      </c>
      <c r="I346" t="n">
        <v>9</v>
      </c>
      <c r="J346" t="n">
        <v>52</v>
      </c>
      <c r="K346" t="n">
        <v>0</v>
      </c>
      <c r="L346" t="n">
        <v>11.83</v>
      </c>
      <c r="M346" t="n">
        <v>0</v>
      </c>
      <c r="N346" t="n">
        <v>120</v>
      </c>
      <c r="O346" t="n">
        <v>100</v>
      </c>
      <c r="P346" t="n">
        <v>1.31</v>
      </c>
    </row>
    <row r="347">
      <c r="A347" t="n">
        <v>826766</v>
      </c>
      <c r="B347" t="inlineStr">
        <is>
          <t>08-05-2026</t>
        </is>
      </c>
      <c r="C347" t="inlineStr">
        <is>
          <t>TEA02</t>
        </is>
      </c>
      <c r="D347" t="inlineStr">
        <is>
          <t>FORWINCH</t>
        </is>
      </c>
      <c r="E347" t="inlineStr">
        <is>
          <t>COIHUECO Y OTROS (BB)</t>
        </is>
      </c>
      <c r="F347" t="inlineStr">
        <is>
          <t>PIRA</t>
        </is>
      </c>
      <c r="G347" t="n">
        <v>720</v>
      </c>
      <c r="H347" t="n">
        <v>0</v>
      </c>
      <c r="I347" t="n">
        <v>9</v>
      </c>
      <c r="J347" t="n">
        <v>52</v>
      </c>
      <c r="K347" t="n">
        <v>0</v>
      </c>
      <c r="L347" t="n">
        <v>34.22</v>
      </c>
      <c r="M347" t="n">
        <v>0</v>
      </c>
      <c r="N347" t="n">
        <v>120</v>
      </c>
      <c r="O347" t="n">
        <v>100</v>
      </c>
      <c r="P347" t="n">
        <v>3.8</v>
      </c>
    </row>
    <row r="348">
      <c r="A348" t="n">
        <v>826767</v>
      </c>
      <c r="B348" t="inlineStr">
        <is>
          <t>08-05-2026</t>
        </is>
      </c>
      <c r="C348" t="inlineStr">
        <is>
          <t>TEA08</t>
        </is>
      </c>
      <c r="D348" t="inlineStr">
        <is>
          <t>FORWINCH</t>
        </is>
      </c>
      <c r="E348" t="inlineStr">
        <is>
          <t>COIHUECO Y OTROS (BB)</t>
        </is>
      </c>
      <c r="F348" t="inlineStr">
        <is>
          <t>PIRA</t>
        </is>
      </c>
      <c r="G348" t="n">
        <v>720</v>
      </c>
      <c r="H348" t="n">
        <v>0</v>
      </c>
      <c r="I348" t="n">
        <v>0.5</v>
      </c>
      <c r="J348" t="n">
        <v>37</v>
      </c>
      <c r="K348" t="n">
        <v>0</v>
      </c>
      <c r="L348" t="n">
        <v>0</v>
      </c>
      <c r="M348" t="n">
        <v>630</v>
      </c>
      <c r="N348" t="n">
        <v>630</v>
      </c>
      <c r="O348" t="n">
        <v>98.5</v>
      </c>
      <c r="P348" t="n">
        <v>0</v>
      </c>
    </row>
    <row r="349">
      <c r="A349" t="n">
        <v>826845</v>
      </c>
      <c r="B349" t="inlineStr">
        <is>
          <t>09-05-2026</t>
        </is>
      </c>
      <c r="C349" t="inlineStr">
        <is>
          <t>S58</t>
        </is>
      </c>
      <c r="D349" t="inlineStr">
        <is>
          <t>SKIDDER</t>
        </is>
      </c>
      <c r="E349" t="inlineStr">
        <is>
          <t>COIHUECO Y OTROS (BB)</t>
        </is>
      </c>
      <c r="F349" t="inlineStr">
        <is>
          <t>PIRA</t>
        </is>
      </c>
      <c r="G349" t="n">
        <v>720</v>
      </c>
      <c r="H349" t="n">
        <v>0</v>
      </c>
      <c r="I349" t="n">
        <v>9</v>
      </c>
      <c r="J349" t="n">
        <v>50</v>
      </c>
      <c r="K349" t="n">
        <v>0</v>
      </c>
      <c r="L349" t="n">
        <v>9.58</v>
      </c>
      <c r="M349" t="n">
        <v>120</v>
      </c>
      <c r="N349" t="n">
        <v>120</v>
      </c>
      <c r="O349" t="n">
        <v>99.7</v>
      </c>
      <c r="P349" t="n">
        <v>1.06</v>
      </c>
    </row>
    <row r="350">
      <c r="A350" t="n">
        <v>826845</v>
      </c>
      <c r="B350" t="inlineStr">
        <is>
          <t>09-05-2026</t>
        </is>
      </c>
      <c r="C350" t="inlineStr">
        <is>
          <t>S58</t>
        </is>
      </c>
      <c r="D350" t="inlineStr">
        <is>
          <t>SKIDDER</t>
        </is>
      </c>
      <c r="E350" t="inlineStr">
        <is>
          <t>COIHUECO Y OTROS (BB)</t>
        </is>
      </c>
      <c r="F350" t="inlineStr">
        <is>
          <t>PIRA</t>
        </is>
      </c>
      <c r="G350" t="n">
        <v>720</v>
      </c>
      <c r="H350" t="n">
        <v>0</v>
      </c>
      <c r="I350" t="n">
        <v>9</v>
      </c>
      <c r="J350" t="n">
        <v>50</v>
      </c>
      <c r="K350" t="n">
        <v>0</v>
      </c>
      <c r="L350" t="n">
        <v>0</v>
      </c>
      <c r="M350" t="n">
        <v>120</v>
      </c>
      <c r="N350" t="n">
        <v>120</v>
      </c>
      <c r="O350" t="n">
        <v>99.7</v>
      </c>
      <c r="P350" t="n">
        <v>0</v>
      </c>
    </row>
    <row r="351">
      <c r="A351" t="n">
        <v>826845</v>
      </c>
      <c r="B351" t="inlineStr">
        <is>
          <t>09-05-2026</t>
        </is>
      </c>
      <c r="C351" t="inlineStr">
        <is>
          <t>S58</t>
        </is>
      </c>
      <c r="D351" t="inlineStr">
        <is>
          <t>SKIDDER</t>
        </is>
      </c>
      <c r="E351" t="inlineStr">
        <is>
          <t>COIHUECO Y OTROS (BB)</t>
        </is>
      </c>
      <c r="F351" t="inlineStr">
        <is>
          <t>PIRA</t>
        </is>
      </c>
      <c r="G351" t="n">
        <v>720</v>
      </c>
      <c r="H351" t="n">
        <v>0</v>
      </c>
      <c r="I351" t="n">
        <v>9</v>
      </c>
      <c r="J351" t="n">
        <v>50</v>
      </c>
      <c r="K351" t="n">
        <v>0</v>
      </c>
      <c r="L351" t="n">
        <v>17.89</v>
      </c>
      <c r="M351" t="n">
        <v>120</v>
      </c>
      <c r="N351" t="n">
        <v>120</v>
      </c>
      <c r="O351" t="n">
        <v>99.7</v>
      </c>
      <c r="P351" t="n">
        <v>1.99</v>
      </c>
    </row>
    <row r="352">
      <c r="A352" t="n">
        <v>826845</v>
      </c>
      <c r="B352" t="inlineStr">
        <is>
          <t>09-05-2026</t>
        </is>
      </c>
      <c r="C352" t="inlineStr">
        <is>
          <t>S58</t>
        </is>
      </c>
      <c r="D352" t="inlineStr">
        <is>
          <t>SKIDDER</t>
        </is>
      </c>
      <c r="E352" t="inlineStr">
        <is>
          <t>COIHUECO Y OTROS (BB)</t>
        </is>
      </c>
      <c r="F352" t="inlineStr">
        <is>
          <t>PIRA</t>
        </is>
      </c>
      <c r="G352" t="n">
        <v>720</v>
      </c>
      <c r="H352" t="n">
        <v>0</v>
      </c>
      <c r="I352" t="n">
        <v>9</v>
      </c>
      <c r="J352" t="n">
        <v>50</v>
      </c>
      <c r="K352" t="n">
        <v>0</v>
      </c>
      <c r="L352" t="n">
        <v>35.1</v>
      </c>
      <c r="M352" t="n">
        <v>120</v>
      </c>
      <c r="N352" t="n">
        <v>120</v>
      </c>
      <c r="O352" t="n">
        <v>99.7</v>
      </c>
      <c r="P352" t="n">
        <v>3.9</v>
      </c>
    </row>
    <row r="353">
      <c r="A353" t="n">
        <v>826845</v>
      </c>
      <c r="B353" t="inlineStr">
        <is>
          <t>09-05-2026</t>
        </is>
      </c>
      <c r="C353" t="inlineStr">
        <is>
          <t>S58</t>
        </is>
      </c>
      <c r="D353" t="inlineStr">
        <is>
          <t>SKIDDER</t>
        </is>
      </c>
      <c r="E353" t="inlineStr">
        <is>
          <t>COIHUECO Y OTROS (BB)</t>
        </is>
      </c>
      <c r="F353" t="inlineStr">
        <is>
          <t>PIRA</t>
        </is>
      </c>
      <c r="G353" t="n">
        <v>720</v>
      </c>
      <c r="H353" t="n">
        <v>0</v>
      </c>
      <c r="I353" t="n">
        <v>9</v>
      </c>
      <c r="J353" t="n">
        <v>50</v>
      </c>
      <c r="K353" t="n">
        <v>0</v>
      </c>
      <c r="L353" t="n">
        <v>53.68</v>
      </c>
      <c r="M353" t="n">
        <v>120</v>
      </c>
      <c r="N353" t="n">
        <v>120</v>
      </c>
      <c r="O353" t="n">
        <v>99.7</v>
      </c>
      <c r="P353" t="n">
        <v>5.96</v>
      </c>
    </row>
    <row r="354">
      <c r="A354" t="n">
        <v>826845</v>
      </c>
      <c r="B354" t="inlineStr">
        <is>
          <t>09-05-2026</t>
        </is>
      </c>
      <c r="C354" t="inlineStr">
        <is>
          <t>S58</t>
        </is>
      </c>
      <c r="D354" t="inlineStr">
        <is>
          <t>SKIDDER</t>
        </is>
      </c>
      <c r="E354" t="inlineStr">
        <is>
          <t>COIHUECO Y OTROS (BB)</t>
        </is>
      </c>
      <c r="F354" t="inlineStr">
        <is>
          <t>PIRA</t>
        </is>
      </c>
      <c r="G354" t="n">
        <v>720</v>
      </c>
      <c r="H354" t="n">
        <v>0</v>
      </c>
      <c r="I354" t="n">
        <v>9</v>
      </c>
      <c r="J354" t="n">
        <v>50</v>
      </c>
      <c r="K354" t="n">
        <v>0</v>
      </c>
      <c r="L354" t="n">
        <v>32.85</v>
      </c>
      <c r="M354" t="n">
        <v>120</v>
      </c>
      <c r="N354" t="n">
        <v>120</v>
      </c>
      <c r="O354" t="n">
        <v>99.7</v>
      </c>
      <c r="P354" t="n">
        <v>3.65</v>
      </c>
    </row>
    <row r="355">
      <c r="A355" t="n">
        <v>826845</v>
      </c>
      <c r="B355" t="inlineStr">
        <is>
          <t>09-05-2026</t>
        </is>
      </c>
      <c r="C355" t="inlineStr">
        <is>
          <t>S58</t>
        </is>
      </c>
      <c r="D355" t="inlineStr">
        <is>
          <t>SKIDDER</t>
        </is>
      </c>
      <c r="E355" t="inlineStr">
        <is>
          <t>COIHUECO Y OTROS (BB)</t>
        </is>
      </c>
      <c r="F355" t="inlineStr">
        <is>
          <t>PIRA</t>
        </is>
      </c>
      <c r="G355" t="n">
        <v>720</v>
      </c>
      <c r="H355" t="n">
        <v>0</v>
      </c>
      <c r="I355" t="n">
        <v>9</v>
      </c>
      <c r="J355" t="n">
        <v>50</v>
      </c>
      <c r="K355" t="n">
        <v>0</v>
      </c>
      <c r="L355" t="n">
        <v>43.32</v>
      </c>
      <c r="M355" t="n">
        <v>120</v>
      </c>
      <c r="N355" t="n">
        <v>120</v>
      </c>
      <c r="O355" t="n">
        <v>99.7</v>
      </c>
      <c r="P355" t="n">
        <v>4.81</v>
      </c>
    </row>
    <row r="356">
      <c r="A356" t="n">
        <v>826845</v>
      </c>
      <c r="B356" t="inlineStr">
        <is>
          <t>09-05-2026</t>
        </is>
      </c>
      <c r="C356" t="inlineStr">
        <is>
          <t>S58</t>
        </is>
      </c>
      <c r="D356" t="inlineStr">
        <is>
          <t>SKIDDER</t>
        </is>
      </c>
      <c r="E356" t="inlineStr">
        <is>
          <t>COIHUECO Y OTROS (BB)</t>
        </is>
      </c>
      <c r="F356" t="inlineStr">
        <is>
          <t>PIRA</t>
        </is>
      </c>
      <c r="G356" t="n">
        <v>720</v>
      </c>
      <c r="H356" t="n">
        <v>0</v>
      </c>
      <c r="I356" t="n">
        <v>9</v>
      </c>
      <c r="J356" t="n">
        <v>50</v>
      </c>
      <c r="K356" t="n">
        <v>0</v>
      </c>
      <c r="L356" t="n">
        <v>0</v>
      </c>
      <c r="M356" t="n">
        <v>120</v>
      </c>
      <c r="N356" t="n">
        <v>120</v>
      </c>
      <c r="O356" t="n">
        <v>99.7</v>
      </c>
      <c r="P356" t="n">
        <v>0</v>
      </c>
    </row>
    <row r="357">
      <c r="A357" t="n">
        <v>826846</v>
      </c>
      <c r="B357" t="inlineStr">
        <is>
          <t>09-05-2026</t>
        </is>
      </c>
      <c r="C357" t="inlineStr">
        <is>
          <t>T125</t>
        </is>
      </c>
      <c r="D357" t="inlineStr">
        <is>
          <t>TORRE500</t>
        </is>
      </c>
      <c r="E357" t="inlineStr">
        <is>
          <t>POLHUIN</t>
        </is>
      </c>
      <c r="F357" t="inlineStr">
        <is>
          <t>EUGL</t>
        </is>
      </c>
      <c r="G357" t="n">
        <v>720</v>
      </c>
      <c r="H357" t="n">
        <v>0</v>
      </c>
      <c r="I357" t="n">
        <v>11</v>
      </c>
      <c r="J357" t="n">
        <v>158</v>
      </c>
      <c r="K357" t="n">
        <v>0</v>
      </c>
      <c r="L357" t="n">
        <v>5.73</v>
      </c>
      <c r="M357" t="n">
        <v>0</v>
      </c>
      <c r="N357" t="n">
        <v>0</v>
      </c>
      <c r="O357" t="n">
        <v>100</v>
      </c>
      <c r="P357" t="n">
        <v>0.52</v>
      </c>
    </row>
    <row r="358">
      <c r="A358" t="n">
        <v>826846</v>
      </c>
      <c r="B358" t="inlineStr">
        <is>
          <t>09-05-2026</t>
        </is>
      </c>
      <c r="C358" t="inlineStr">
        <is>
          <t>T125</t>
        </is>
      </c>
      <c r="D358" t="inlineStr">
        <is>
          <t>TORRE500</t>
        </is>
      </c>
      <c r="E358" t="inlineStr">
        <is>
          <t>POLHUIN</t>
        </is>
      </c>
      <c r="F358" t="inlineStr">
        <is>
          <t>EUGL</t>
        </is>
      </c>
      <c r="G358" t="n">
        <v>720</v>
      </c>
      <c r="H358" t="n">
        <v>0</v>
      </c>
      <c r="I358" t="n">
        <v>11</v>
      </c>
      <c r="J358" t="n">
        <v>158</v>
      </c>
      <c r="K358" t="n">
        <v>0</v>
      </c>
      <c r="L358" t="n">
        <v>213.91</v>
      </c>
      <c r="M358" t="n">
        <v>0</v>
      </c>
      <c r="N358" t="n">
        <v>0</v>
      </c>
      <c r="O358" t="n">
        <v>100</v>
      </c>
      <c r="P358" t="n">
        <v>19.45</v>
      </c>
    </row>
    <row r="359">
      <c r="A359" t="n">
        <v>826853</v>
      </c>
      <c r="B359" t="inlineStr">
        <is>
          <t>09-05-2026</t>
        </is>
      </c>
      <c r="C359" t="inlineStr">
        <is>
          <t>S246</t>
        </is>
      </c>
      <c r="D359" t="inlineStr">
        <is>
          <t>SKIDDER</t>
        </is>
      </c>
      <c r="E359" t="inlineStr">
        <is>
          <t>COIHUECO Y OTROS (BB)</t>
        </is>
      </c>
      <c r="F359" t="inlineStr">
        <is>
          <t>PIRA</t>
        </is>
      </c>
      <c r="G359" t="n">
        <v>720</v>
      </c>
      <c r="H359" t="n">
        <v>0</v>
      </c>
      <c r="I359" t="n">
        <v>6.2</v>
      </c>
      <c r="J359" t="n">
        <v>33</v>
      </c>
      <c r="K359" t="n">
        <v>0</v>
      </c>
      <c r="L359" t="n">
        <v>3.91</v>
      </c>
      <c r="M359" t="n">
        <v>0</v>
      </c>
      <c r="N359" t="n">
        <v>300</v>
      </c>
      <c r="O359" t="n">
        <v>100</v>
      </c>
      <c r="P359" t="n">
        <v>0.63</v>
      </c>
    </row>
    <row r="360">
      <c r="A360" t="n">
        <v>826853</v>
      </c>
      <c r="B360" t="inlineStr">
        <is>
          <t>09-05-2026</t>
        </is>
      </c>
      <c r="C360" t="inlineStr">
        <is>
          <t>S246</t>
        </is>
      </c>
      <c r="D360" t="inlineStr">
        <is>
          <t>SKIDDER</t>
        </is>
      </c>
      <c r="E360" t="inlineStr">
        <is>
          <t>COIHUECO Y OTROS (BB)</t>
        </is>
      </c>
      <c r="F360" t="inlineStr">
        <is>
          <t>PIRA</t>
        </is>
      </c>
      <c r="G360" t="n">
        <v>720</v>
      </c>
      <c r="H360" t="n">
        <v>0</v>
      </c>
      <c r="I360" t="n">
        <v>6.2</v>
      </c>
      <c r="J360" t="n">
        <v>33</v>
      </c>
      <c r="K360" t="n">
        <v>0</v>
      </c>
      <c r="L360" t="n">
        <v>12.22</v>
      </c>
      <c r="M360" t="n">
        <v>0</v>
      </c>
      <c r="N360" t="n">
        <v>300</v>
      </c>
      <c r="O360" t="n">
        <v>100</v>
      </c>
      <c r="P360" t="n">
        <v>1.95</v>
      </c>
    </row>
    <row r="361">
      <c r="A361" t="n">
        <v>826853</v>
      </c>
      <c r="B361" t="inlineStr">
        <is>
          <t>09-05-2026</t>
        </is>
      </c>
      <c r="C361" t="inlineStr">
        <is>
          <t>S246</t>
        </is>
      </c>
      <c r="D361" t="inlineStr">
        <is>
          <t>SKIDDER</t>
        </is>
      </c>
      <c r="E361" t="inlineStr">
        <is>
          <t>COIHUECO Y OTROS (BB)</t>
        </is>
      </c>
      <c r="F361" t="inlineStr">
        <is>
          <t>PIRA</t>
        </is>
      </c>
      <c r="G361" t="n">
        <v>720</v>
      </c>
      <c r="H361" t="n">
        <v>0</v>
      </c>
      <c r="I361" t="n">
        <v>6.2</v>
      </c>
      <c r="J361" t="n">
        <v>33</v>
      </c>
      <c r="K361" t="n">
        <v>0</v>
      </c>
      <c r="L361" t="n">
        <v>25.31</v>
      </c>
      <c r="M361" t="n">
        <v>0</v>
      </c>
      <c r="N361" t="n">
        <v>300</v>
      </c>
      <c r="O361" t="n">
        <v>100</v>
      </c>
      <c r="P361" t="n">
        <v>4.05</v>
      </c>
    </row>
    <row r="362">
      <c r="A362" t="n">
        <v>826853</v>
      </c>
      <c r="B362" t="inlineStr">
        <is>
          <t>09-05-2026</t>
        </is>
      </c>
      <c r="C362" t="inlineStr">
        <is>
          <t>S246</t>
        </is>
      </c>
      <c r="D362" t="inlineStr">
        <is>
          <t>SKIDDER</t>
        </is>
      </c>
      <c r="E362" t="inlineStr">
        <is>
          <t>COIHUECO Y OTROS (BB)</t>
        </is>
      </c>
      <c r="F362" t="inlineStr">
        <is>
          <t>PIRA</t>
        </is>
      </c>
      <c r="G362" t="n">
        <v>720</v>
      </c>
      <c r="H362" t="n">
        <v>0</v>
      </c>
      <c r="I362" t="n">
        <v>6.2</v>
      </c>
      <c r="J362" t="n">
        <v>33</v>
      </c>
      <c r="K362" t="n">
        <v>0</v>
      </c>
      <c r="L362" t="n">
        <v>0</v>
      </c>
      <c r="M362" t="n">
        <v>0</v>
      </c>
      <c r="N362" t="n">
        <v>300</v>
      </c>
      <c r="O362" t="n">
        <v>100</v>
      </c>
      <c r="P362" t="n">
        <v>0</v>
      </c>
    </row>
    <row r="363">
      <c r="A363" t="n">
        <v>826853</v>
      </c>
      <c r="B363" t="inlineStr">
        <is>
          <t>09-05-2026</t>
        </is>
      </c>
      <c r="C363" t="inlineStr">
        <is>
          <t>S246</t>
        </is>
      </c>
      <c r="D363" t="inlineStr">
        <is>
          <t>SKIDDER</t>
        </is>
      </c>
      <c r="E363" t="inlineStr">
        <is>
          <t>COIHUECO Y OTROS (BB)</t>
        </is>
      </c>
      <c r="F363" t="inlineStr">
        <is>
          <t>PIRA</t>
        </is>
      </c>
      <c r="G363" t="n">
        <v>720</v>
      </c>
      <c r="H363" t="n">
        <v>0</v>
      </c>
      <c r="I363" t="n">
        <v>6.2</v>
      </c>
      <c r="J363" t="n">
        <v>33</v>
      </c>
      <c r="K363" t="n">
        <v>0</v>
      </c>
      <c r="L363" t="n">
        <v>37.62</v>
      </c>
      <c r="M363" t="n">
        <v>0</v>
      </c>
      <c r="N363" t="n">
        <v>300</v>
      </c>
      <c r="O363" t="n">
        <v>100</v>
      </c>
      <c r="P363" t="n">
        <v>6.02</v>
      </c>
    </row>
    <row r="364">
      <c r="A364" t="n">
        <v>826853</v>
      </c>
      <c r="B364" t="inlineStr">
        <is>
          <t>09-05-2026</t>
        </is>
      </c>
      <c r="C364" t="inlineStr">
        <is>
          <t>S246</t>
        </is>
      </c>
      <c r="D364" t="inlineStr">
        <is>
          <t>SKIDDER</t>
        </is>
      </c>
      <c r="E364" t="inlineStr">
        <is>
          <t>COIHUECO Y OTROS (BB)</t>
        </is>
      </c>
      <c r="F364" t="inlineStr">
        <is>
          <t>PIRA</t>
        </is>
      </c>
      <c r="G364" t="n">
        <v>720</v>
      </c>
      <c r="H364" t="n">
        <v>0</v>
      </c>
      <c r="I364" t="n">
        <v>6.2</v>
      </c>
      <c r="J364" t="n">
        <v>33</v>
      </c>
      <c r="K364" t="n">
        <v>0</v>
      </c>
      <c r="L364" t="n">
        <v>10.99</v>
      </c>
      <c r="M364" t="n">
        <v>0</v>
      </c>
      <c r="N364" t="n">
        <v>300</v>
      </c>
      <c r="O364" t="n">
        <v>100</v>
      </c>
      <c r="P364" t="n">
        <v>1.76</v>
      </c>
    </row>
    <row r="365">
      <c r="A365" t="n">
        <v>826853</v>
      </c>
      <c r="B365" t="inlineStr">
        <is>
          <t>09-05-2026</t>
        </is>
      </c>
      <c r="C365" t="inlineStr">
        <is>
          <t>S246</t>
        </is>
      </c>
      <c r="D365" t="inlineStr">
        <is>
          <t>SKIDDER</t>
        </is>
      </c>
      <c r="E365" t="inlineStr">
        <is>
          <t>COIHUECO Y OTROS (BB)</t>
        </is>
      </c>
      <c r="F365" t="inlineStr">
        <is>
          <t>PIRA</t>
        </is>
      </c>
      <c r="G365" t="n">
        <v>720</v>
      </c>
      <c r="H365" t="n">
        <v>0</v>
      </c>
      <c r="I365" t="n">
        <v>6.2</v>
      </c>
      <c r="J365" t="n">
        <v>33</v>
      </c>
      <c r="K365" t="n">
        <v>0</v>
      </c>
      <c r="L365" t="n">
        <v>23.2</v>
      </c>
      <c r="M365" t="n">
        <v>0</v>
      </c>
      <c r="N365" t="n">
        <v>300</v>
      </c>
      <c r="O365" t="n">
        <v>100</v>
      </c>
      <c r="P365" t="n">
        <v>3.71</v>
      </c>
    </row>
    <row r="366">
      <c r="A366" t="n">
        <v>826853</v>
      </c>
      <c r="B366" t="inlineStr">
        <is>
          <t>09-05-2026</t>
        </is>
      </c>
      <c r="C366" t="inlineStr">
        <is>
          <t>S246</t>
        </is>
      </c>
      <c r="D366" t="inlineStr">
        <is>
          <t>SKIDDER</t>
        </is>
      </c>
      <c r="E366" t="inlineStr">
        <is>
          <t>COIHUECO Y OTROS (BB)</t>
        </is>
      </c>
      <c r="F366" t="inlineStr">
        <is>
          <t>PIRA</t>
        </is>
      </c>
      <c r="G366" t="n">
        <v>720</v>
      </c>
      <c r="H366" t="n">
        <v>0</v>
      </c>
      <c r="I366" t="n">
        <v>6.2</v>
      </c>
      <c r="J366" t="n">
        <v>33</v>
      </c>
      <c r="K366" t="n">
        <v>0</v>
      </c>
      <c r="L366" t="n">
        <v>6.96</v>
      </c>
      <c r="M366" t="n">
        <v>0</v>
      </c>
      <c r="N366" t="n">
        <v>300</v>
      </c>
      <c r="O366" t="n">
        <v>100</v>
      </c>
      <c r="P366" t="n">
        <v>1.11</v>
      </c>
    </row>
    <row r="367">
      <c r="A367" t="n">
        <v>826853</v>
      </c>
      <c r="B367" t="inlineStr">
        <is>
          <t>09-05-2026</t>
        </is>
      </c>
      <c r="C367" t="inlineStr">
        <is>
          <t>S246</t>
        </is>
      </c>
      <c r="D367" t="inlineStr">
        <is>
          <t>SKIDDER</t>
        </is>
      </c>
      <c r="E367" t="inlineStr">
        <is>
          <t>COIHUECO Y OTROS (BB)</t>
        </is>
      </c>
      <c r="F367" t="inlineStr">
        <is>
          <t>PIRA</t>
        </is>
      </c>
      <c r="G367" t="n">
        <v>720</v>
      </c>
      <c r="H367" t="n">
        <v>0</v>
      </c>
      <c r="I367" t="n">
        <v>6.2</v>
      </c>
      <c r="J367" t="n">
        <v>33</v>
      </c>
      <c r="K367" t="n">
        <v>0</v>
      </c>
      <c r="L367" t="n">
        <v>10.88</v>
      </c>
      <c r="M367" t="n">
        <v>0</v>
      </c>
      <c r="N367" t="n">
        <v>300</v>
      </c>
      <c r="O367" t="n">
        <v>100</v>
      </c>
      <c r="P367" t="n">
        <v>1.74</v>
      </c>
    </row>
    <row r="368">
      <c r="A368" t="n">
        <v>826853</v>
      </c>
      <c r="B368" t="inlineStr">
        <is>
          <t>09-05-2026</t>
        </is>
      </c>
      <c r="C368" t="inlineStr">
        <is>
          <t>S246</t>
        </is>
      </c>
      <c r="D368" t="inlineStr">
        <is>
          <t>SKIDDER</t>
        </is>
      </c>
      <c r="E368" t="inlineStr">
        <is>
          <t>COIHUECO Y OTROS (BB)</t>
        </is>
      </c>
      <c r="F368" t="inlineStr">
        <is>
          <t>PIRA</t>
        </is>
      </c>
      <c r="G368" t="n">
        <v>720</v>
      </c>
      <c r="H368" t="n">
        <v>0</v>
      </c>
      <c r="I368" t="n">
        <v>6.2</v>
      </c>
      <c r="J368" t="n">
        <v>33</v>
      </c>
      <c r="K368" t="n">
        <v>0</v>
      </c>
      <c r="L368" t="n">
        <v>0</v>
      </c>
      <c r="M368" t="n">
        <v>0</v>
      </c>
      <c r="N368" t="n">
        <v>300</v>
      </c>
      <c r="O368" t="n">
        <v>100</v>
      </c>
      <c r="P368" t="n">
        <v>0</v>
      </c>
    </row>
    <row r="369">
      <c r="A369" t="n">
        <v>826856</v>
      </c>
      <c r="B369" t="inlineStr">
        <is>
          <t>09-05-2026</t>
        </is>
      </c>
      <c r="C369" t="inlineStr">
        <is>
          <t>MG5</t>
        </is>
      </c>
      <c r="D369" t="inlineStr">
        <is>
          <t>GRAPPLE</t>
        </is>
      </c>
      <c r="E369" t="inlineStr">
        <is>
          <t>CE-27 ESPINALILLO YBAR</t>
        </is>
      </c>
      <c r="F369" t="inlineStr">
        <is>
          <t>PIRA</t>
        </is>
      </c>
      <c r="G369" t="n">
        <v>375</v>
      </c>
      <c r="H369" t="n">
        <v>0</v>
      </c>
      <c r="I369" t="n">
        <v>5.5</v>
      </c>
      <c r="J369" t="n">
        <v>0</v>
      </c>
      <c r="K369" t="n">
        <v>0</v>
      </c>
      <c r="L369" t="n">
        <v>41.27</v>
      </c>
      <c r="M369" t="n">
        <v>0</v>
      </c>
      <c r="N369" t="n">
        <v>15</v>
      </c>
      <c r="O369" t="n">
        <v>100</v>
      </c>
      <c r="P369" t="n">
        <v>7.5</v>
      </c>
    </row>
    <row r="370">
      <c r="A370" t="n">
        <v>826856</v>
      </c>
      <c r="B370" t="inlineStr">
        <is>
          <t>09-05-2026</t>
        </is>
      </c>
      <c r="C370" t="inlineStr">
        <is>
          <t>MG5</t>
        </is>
      </c>
      <c r="D370" t="inlineStr">
        <is>
          <t>GRAPPLE</t>
        </is>
      </c>
      <c r="E370" t="inlineStr">
        <is>
          <t>CE-27 ESPINALILLO YBAR</t>
        </is>
      </c>
      <c r="F370" t="inlineStr">
        <is>
          <t>PIRA</t>
        </is>
      </c>
      <c r="G370" t="n">
        <v>375</v>
      </c>
      <c r="H370" t="n">
        <v>0</v>
      </c>
      <c r="I370" t="n">
        <v>5.5</v>
      </c>
      <c r="J370" t="n">
        <v>0</v>
      </c>
      <c r="K370" t="n">
        <v>0</v>
      </c>
      <c r="L370" t="n">
        <v>49.78</v>
      </c>
      <c r="M370" t="n">
        <v>0</v>
      </c>
      <c r="N370" t="n">
        <v>15</v>
      </c>
      <c r="O370" t="n">
        <v>100</v>
      </c>
      <c r="P370" t="n">
        <v>9.050000000000001</v>
      </c>
    </row>
    <row r="371">
      <c r="A371" t="n">
        <v>826856</v>
      </c>
      <c r="B371" t="inlineStr">
        <is>
          <t>09-05-2026</t>
        </is>
      </c>
      <c r="C371" t="inlineStr">
        <is>
          <t>MG5</t>
        </is>
      </c>
      <c r="D371" t="inlineStr">
        <is>
          <t>GRAPPLE</t>
        </is>
      </c>
      <c r="E371" t="inlineStr">
        <is>
          <t>CE-27 ESPINALILLO YBAR</t>
        </is>
      </c>
      <c r="F371" t="inlineStr">
        <is>
          <t>PIRA</t>
        </is>
      </c>
      <c r="G371" t="n">
        <v>375</v>
      </c>
      <c r="H371" t="n">
        <v>0</v>
      </c>
      <c r="I371" t="n">
        <v>5.5</v>
      </c>
      <c r="J371" t="n">
        <v>0</v>
      </c>
      <c r="K371" t="n">
        <v>0</v>
      </c>
      <c r="L371" t="n">
        <v>29.26</v>
      </c>
      <c r="M371" t="n">
        <v>0</v>
      </c>
      <c r="N371" t="n">
        <v>15</v>
      </c>
      <c r="O371" t="n">
        <v>100</v>
      </c>
      <c r="P371" t="n">
        <v>5.32</v>
      </c>
    </row>
    <row r="372">
      <c r="A372" t="n">
        <v>826864</v>
      </c>
      <c r="B372" t="inlineStr">
        <is>
          <t>09-05-2026</t>
        </is>
      </c>
      <c r="C372" t="inlineStr">
        <is>
          <t>MG5</t>
        </is>
      </c>
      <c r="D372" t="inlineStr">
        <is>
          <t>GRAPPLE</t>
        </is>
      </c>
      <c r="E372" t="inlineStr">
        <is>
          <t>CE-27 ESPINALILLO YBAR</t>
        </is>
      </c>
      <c r="F372" t="inlineStr">
        <is>
          <t>PIRA</t>
        </is>
      </c>
      <c r="G372" t="n">
        <v>345</v>
      </c>
      <c r="H372" t="n">
        <v>0</v>
      </c>
      <c r="I372" t="n">
        <v>5</v>
      </c>
      <c r="J372" t="n">
        <v>10</v>
      </c>
      <c r="K372" t="n">
        <v>0</v>
      </c>
      <c r="L372" t="n">
        <v>27.77</v>
      </c>
      <c r="M372" t="n">
        <v>0</v>
      </c>
      <c r="N372" t="n">
        <v>15</v>
      </c>
      <c r="O372" t="n">
        <v>100</v>
      </c>
      <c r="P372" t="n">
        <v>5.55</v>
      </c>
    </row>
    <row r="373">
      <c r="A373" t="n">
        <v>826864</v>
      </c>
      <c r="B373" t="inlineStr">
        <is>
          <t>09-05-2026</t>
        </is>
      </c>
      <c r="C373" t="inlineStr">
        <is>
          <t>MG5</t>
        </is>
      </c>
      <c r="D373" t="inlineStr">
        <is>
          <t>GRAPPLE</t>
        </is>
      </c>
      <c r="E373" t="inlineStr">
        <is>
          <t>CE-27 ESPINALILLO YBAR</t>
        </is>
      </c>
      <c r="F373" t="inlineStr">
        <is>
          <t>PIRA</t>
        </is>
      </c>
      <c r="G373" t="n">
        <v>345</v>
      </c>
      <c r="H373" t="n">
        <v>0</v>
      </c>
      <c r="I373" t="n">
        <v>5</v>
      </c>
      <c r="J373" t="n">
        <v>10</v>
      </c>
      <c r="K373" t="n">
        <v>0</v>
      </c>
      <c r="L373" t="n">
        <v>30.24</v>
      </c>
      <c r="M373" t="n">
        <v>0</v>
      </c>
      <c r="N373" t="n">
        <v>15</v>
      </c>
      <c r="O373" t="n">
        <v>100</v>
      </c>
      <c r="P373" t="n">
        <v>6.05</v>
      </c>
    </row>
    <row r="374">
      <c r="A374" t="n">
        <v>826864</v>
      </c>
      <c r="B374" t="inlineStr">
        <is>
          <t>09-05-2026</t>
        </is>
      </c>
      <c r="C374" t="inlineStr">
        <is>
          <t>MG5</t>
        </is>
      </c>
      <c r="D374" t="inlineStr">
        <is>
          <t>GRAPPLE</t>
        </is>
      </c>
      <c r="E374" t="inlineStr">
        <is>
          <t>CE-27 ESPINALILLO YBAR</t>
        </is>
      </c>
      <c r="F374" t="inlineStr">
        <is>
          <t>PIRA</t>
        </is>
      </c>
      <c r="G374" t="n">
        <v>345</v>
      </c>
      <c r="H374" t="n">
        <v>0</v>
      </c>
      <c r="I374" t="n">
        <v>5</v>
      </c>
      <c r="J374" t="n">
        <v>10</v>
      </c>
      <c r="K374" t="n">
        <v>0</v>
      </c>
      <c r="L374" t="n">
        <v>24.64</v>
      </c>
      <c r="M374" t="n">
        <v>0</v>
      </c>
      <c r="N374" t="n">
        <v>15</v>
      </c>
      <c r="O374" t="n">
        <v>100</v>
      </c>
      <c r="P374" t="n">
        <v>4.93</v>
      </c>
    </row>
    <row r="375">
      <c r="A375" t="n">
        <v>826865</v>
      </c>
      <c r="B375" t="inlineStr">
        <is>
          <t>09-05-2026</t>
        </is>
      </c>
      <c r="C375" t="inlineStr">
        <is>
          <t>S123</t>
        </is>
      </c>
      <c r="D375" t="inlineStr">
        <is>
          <t>SKIDDER</t>
        </is>
      </c>
      <c r="E375" t="inlineStr">
        <is>
          <t>EL CABRITO CBB</t>
        </is>
      </c>
      <c r="F375" t="inlineStr">
        <is>
          <t>PIRA</t>
        </is>
      </c>
      <c r="G375" t="n">
        <v>720</v>
      </c>
      <c r="H375" t="n">
        <v>0</v>
      </c>
      <c r="I375" t="n">
        <v>2</v>
      </c>
      <c r="J375" t="n">
        <v>9</v>
      </c>
      <c r="K375" t="n">
        <v>0</v>
      </c>
      <c r="L375" t="n">
        <v>0</v>
      </c>
      <c r="M375" t="n">
        <v>0</v>
      </c>
      <c r="N375" t="n">
        <v>540</v>
      </c>
      <c r="O375" t="n">
        <v>100</v>
      </c>
      <c r="P375" t="n">
        <v>0</v>
      </c>
    </row>
    <row r="376">
      <c r="A376" t="n">
        <v>826865</v>
      </c>
      <c r="B376" t="inlineStr">
        <is>
          <t>09-05-2026</t>
        </is>
      </c>
      <c r="C376" t="inlineStr">
        <is>
          <t>S123</t>
        </is>
      </c>
      <c r="D376" t="inlineStr">
        <is>
          <t>SKIDDER</t>
        </is>
      </c>
      <c r="E376" t="inlineStr">
        <is>
          <t>EL CABRITO CBB</t>
        </is>
      </c>
      <c r="F376" t="inlineStr">
        <is>
          <t>PIRA</t>
        </is>
      </c>
      <c r="G376" t="n">
        <v>720</v>
      </c>
      <c r="H376" t="n">
        <v>0</v>
      </c>
      <c r="I376" t="n">
        <v>2</v>
      </c>
      <c r="J376" t="n">
        <v>9</v>
      </c>
      <c r="K376" t="n">
        <v>0</v>
      </c>
      <c r="L376" t="n">
        <v>1.72</v>
      </c>
      <c r="M376" t="n">
        <v>0</v>
      </c>
      <c r="N376" t="n">
        <v>540</v>
      </c>
      <c r="O376" t="n">
        <v>100</v>
      </c>
      <c r="P376" t="n">
        <v>0.86</v>
      </c>
    </row>
    <row r="377">
      <c r="A377" t="n">
        <v>826865</v>
      </c>
      <c r="B377" t="inlineStr">
        <is>
          <t>09-05-2026</t>
        </is>
      </c>
      <c r="C377" t="inlineStr">
        <is>
          <t>S123</t>
        </is>
      </c>
      <c r="D377" t="inlineStr">
        <is>
          <t>SKIDDER</t>
        </is>
      </c>
      <c r="E377" t="inlineStr">
        <is>
          <t>EL CABRITO CBB</t>
        </is>
      </c>
      <c r="F377" t="inlineStr">
        <is>
          <t>PIRA</t>
        </is>
      </c>
      <c r="G377" t="n">
        <v>720</v>
      </c>
      <c r="H377" t="n">
        <v>0</v>
      </c>
      <c r="I377" t="n">
        <v>2</v>
      </c>
      <c r="J377" t="n">
        <v>9</v>
      </c>
      <c r="K377" t="n">
        <v>0</v>
      </c>
      <c r="L377" t="n">
        <v>1.05</v>
      </c>
      <c r="M377" t="n">
        <v>0</v>
      </c>
      <c r="N377" t="n">
        <v>540</v>
      </c>
      <c r="O377" t="n">
        <v>100</v>
      </c>
      <c r="P377" t="n">
        <v>0.52</v>
      </c>
    </row>
    <row r="378">
      <c r="A378" t="n">
        <v>826865</v>
      </c>
      <c r="B378" t="inlineStr">
        <is>
          <t>09-05-2026</t>
        </is>
      </c>
      <c r="C378" t="inlineStr">
        <is>
          <t>S123</t>
        </is>
      </c>
      <c r="D378" t="inlineStr">
        <is>
          <t>SKIDDER</t>
        </is>
      </c>
      <c r="E378" t="inlineStr">
        <is>
          <t>EL CABRITO CBB</t>
        </is>
      </c>
      <c r="F378" t="inlineStr">
        <is>
          <t>PIRA</t>
        </is>
      </c>
      <c r="G378" t="n">
        <v>720</v>
      </c>
      <c r="H378" t="n">
        <v>0</v>
      </c>
      <c r="I378" t="n">
        <v>2</v>
      </c>
      <c r="J378" t="n">
        <v>9</v>
      </c>
      <c r="K378" t="n">
        <v>0</v>
      </c>
      <c r="L378" t="n">
        <v>0</v>
      </c>
      <c r="M378" t="n">
        <v>0</v>
      </c>
      <c r="N378" t="n">
        <v>540</v>
      </c>
      <c r="O378" t="n">
        <v>100</v>
      </c>
      <c r="P378" t="n">
        <v>0</v>
      </c>
    </row>
    <row r="379">
      <c r="A379" t="n">
        <v>826865</v>
      </c>
      <c r="B379" t="inlineStr">
        <is>
          <t>09-05-2026</t>
        </is>
      </c>
      <c r="C379" t="inlineStr">
        <is>
          <t>S123</t>
        </is>
      </c>
      <c r="D379" t="inlineStr">
        <is>
          <t>SKIDDER</t>
        </is>
      </c>
      <c r="E379" t="inlineStr">
        <is>
          <t>EL CABRITO CBB</t>
        </is>
      </c>
      <c r="F379" t="inlineStr">
        <is>
          <t>PIRA</t>
        </is>
      </c>
      <c r="G379" t="n">
        <v>720</v>
      </c>
      <c r="H379" t="n">
        <v>0</v>
      </c>
      <c r="I379" t="n">
        <v>2</v>
      </c>
      <c r="J379" t="n">
        <v>9</v>
      </c>
      <c r="K379" t="n">
        <v>0</v>
      </c>
      <c r="L379" t="n">
        <v>11.65</v>
      </c>
      <c r="M379" t="n">
        <v>0</v>
      </c>
      <c r="N379" t="n">
        <v>540</v>
      </c>
      <c r="O379" t="n">
        <v>100</v>
      </c>
      <c r="P379" t="n">
        <v>5.83</v>
      </c>
    </row>
    <row r="380">
      <c r="A380" t="n">
        <v>826865</v>
      </c>
      <c r="B380" t="inlineStr">
        <is>
          <t>09-05-2026</t>
        </is>
      </c>
      <c r="C380" t="inlineStr">
        <is>
          <t>S123</t>
        </is>
      </c>
      <c r="D380" t="inlineStr">
        <is>
          <t>SKIDDER</t>
        </is>
      </c>
      <c r="E380" t="inlineStr">
        <is>
          <t>EL CABRITO CBB</t>
        </is>
      </c>
      <c r="F380" t="inlineStr">
        <is>
          <t>PIRA</t>
        </is>
      </c>
      <c r="G380" t="n">
        <v>720</v>
      </c>
      <c r="H380" t="n">
        <v>0</v>
      </c>
      <c r="I380" t="n">
        <v>2</v>
      </c>
      <c r="J380" t="n">
        <v>9</v>
      </c>
      <c r="K380" t="n">
        <v>0</v>
      </c>
      <c r="L380" t="n">
        <v>12.05</v>
      </c>
      <c r="M380" t="n">
        <v>0</v>
      </c>
      <c r="N380" t="n">
        <v>540</v>
      </c>
      <c r="O380" t="n">
        <v>100</v>
      </c>
      <c r="P380" t="n">
        <v>6.02</v>
      </c>
    </row>
    <row r="381">
      <c r="A381" t="n">
        <v>826865</v>
      </c>
      <c r="B381" t="inlineStr">
        <is>
          <t>09-05-2026</t>
        </is>
      </c>
      <c r="C381" t="inlineStr">
        <is>
          <t>S123</t>
        </is>
      </c>
      <c r="D381" t="inlineStr">
        <is>
          <t>SKIDDER</t>
        </is>
      </c>
      <c r="E381" t="inlineStr">
        <is>
          <t>EL CABRITO CBB</t>
        </is>
      </c>
      <c r="F381" t="inlineStr">
        <is>
          <t>PIRA</t>
        </is>
      </c>
      <c r="G381" t="n">
        <v>720</v>
      </c>
      <c r="H381" t="n">
        <v>0</v>
      </c>
      <c r="I381" t="n">
        <v>2</v>
      </c>
      <c r="J381" t="n">
        <v>9</v>
      </c>
      <c r="K381" t="n">
        <v>0</v>
      </c>
      <c r="L381" t="n">
        <v>0</v>
      </c>
      <c r="M381" t="n">
        <v>0</v>
      </c>
      <c r="N381" t="n">
        <v>540</v>
      </c>
      <c r="O381" t="n">
        <v>100</v>
      </c>
      <c r="P381" t="n">
        <v>0</v>
      </c>
    </row>
    <row r="382">
      <c r="A382" t="n">
        <v>826865</v>
      </c>
      <c r="B382" t="inlineStr">
        <is>
          <t>09-05-2026</t>
        </is>
      </c>
      <c r="C382" t="inlineStr">
        <is>
          <t>S123</t>
        </is>
      </c>
      <c r="D382" t="inlineStr">
        <is>
          <t>SKIDDER</t>
        </is>
      </c>
      <c r="E382" t="inlineStr">
        <is>
          <t>EL CABRITO CBB</t>
        </is>
      </c>
      <c r="F382" t="inlineStr">
        <is>
          <t>PIRA</t>
        </is>
      </c>
      <c r="G382" t="n">
        <v>720</v>
      </c>
      <c r="H382" t="n">
        <v>0</v>
      </c>
      <c r="I382" t="n">
        <v>2</v>
      </c>
      <c r="J382" t="n">
        <v>9</v>
      </c>
      <c r="K382" t="n">
        <v>0</v>
      </c>
      <c r="L382" t="n">
        <v>0</v>
      </c>
      <c r="M382" t="n">
        <v>0</v>
      </c>
      <c r="N382" t="n">
        <v>540</v>
      </c>
      <c r="O382" t="n">
        <v>100</v>
      </c>
      <c r="P382" t="n">
        <v>0</v>
      </c>
    </row>
    <row r="383">
      <c r="A383" t="n">
        <v>826865</v>
      </c>
      <c r="B383" t="inlineStr">
        <is>
          <t>09-05-2026</t>
        </is>
      </c>
      <c r="C383" t="inlineStr">
        <is>
          <t>S123</t>
        </is>
      </c>
      <c r="D383" t="inlineStr">
        <is>
          <t>SKIDDER</t>
        </is>
      </c>
      <c r="E383" t="inlineStr">
        <is>
          <t>EL CABRITO CBB</t>
        </is>
      </c>
      <c r="F383" t="inlineStr">
        <is>
          <t>PIRA</t>
        </is>
      </c>
      <c r="G383" t="n">
        <v>720</v>
      </c>
      <c r="H383" t="n">
        <v>0</v>
      </c>
      <c r="I383" t="n">
        <v>2</v>
      </c>
      <c r="J383" t="n">
        <v>9</v>
      </c>
      <c r="K383" t="n">
        <v>0</v>
      </c>
      <c r="L383" t="n">
        <v>9.26</v>
      </c>
      <c r="M383" t="n">
        <v>0</v>
      </c>
      <c r="N383" t="n">
        <v>540</v>
      </c>
      <c r="O383" t="n">
        <v>100</v>
      </c>
      <c r="P383" t="n">
        <v>4.63</v>
      </c>
    </row>
    <row r="384">
      <c r="A384" t="n">
        <v>826875</v>
      </c>
      <c r="B384" t="inlineStr">
        <is>
          <t>09-05-2026</t>
        </is>
      </c>
      <c r="C384" t="inlineStr">
        <is>
          <t>TEA02</t>
        </is>
      </c>
      <c r="D384" t="inlineStr">
        <is>
          <t>FORWINCH</t>
        </is>
      </c>
      <c r="E384" t="inlineStr">
        <is>
          <t>COIHUECO Y OTROS (BB)</t>
        </is>
      </c>
      <c r="F384" t="inlineStr">
        <is>
          <t>PIRA</t>
        </is>
      </c>
      <c r="G384" t="n">
        <v>720</v>
      </c>
      <c r="H384" t="n">
        <v>0</v>
      </c>
      <c r="I384" t="n">
        <v>9</v>
      </c>
      <c r="J384" t="n">
        <v>56</v>
      </c>
      <c r="K384" t="n">
        <v>0</v>
      </c>
      <c r="L384" t="n">
        <v>1.64</v>
      </c>
      <c r="M384" t="n">
        <v>0</v>
      </c>
      <c r="N384" t="n">
        <v>120</v>
      </c>
      <c r="O384" t="n">
        <v>100</v>
      </c>
      <c r="P384" t="n">
        <v>0.18</v>
      </c>
    </row>
    <row r="385">
      <c r="A385" t="n">
        <v>826875</v>
      </c>
      <c r="B385" t="inlineStr">
        <is>
          <t>09-05-2026</t>
        </is>
      </c>
      <c r="C385" t="inlineStr">
        <is>
          <t>TEA02</t>
        </is>
      </c>
      <c r="D385" t="inlineStr">
        <is>
          <t>FORWINCH</t>
        </is>
      </c>
      <c r="E385" t="inlineStr">
        <is>
          <t>COIHUECO Y OTROS (BB)</t>
        </is>
      </c>
      <c r="F385" t="inlineStr">
        <is>
          <t>PIRA</t>
        </is>
      </c>
      <c r="G385" t="n">
        <v>720</v>
      </c>
      <c r="H385" t="n">
        <v>0</v>
      </c>
      <c r="I385" t="n">
        <v>9</v>
      </c>
      <c r="J385" t="n">
        <v>56</v>
      </c>
      <c r="K385" t="n">
        <v>0</v>
      </c>
      <c r="L385" t="n">
        <v>11.52</v>
      </c>
      <c r="M385" t="n">
        <v>0</v>
      </c>
      <c r="N385" t="n">
        <v>120</v>
      </c>
      <c r="O385" t="n">
        <v>100</v>
      </c>
      <c r="P385" t="n">
        <v>1.28</v>
      </c>
    </row>
    <row r="386">
      <c r="A386" t="n">
        <v>826875</v>
      </c>
      <c r="B386" t="inlineStr">
        <is>
          <t>09-05-2026</t>
        </is>
      </c>
      <c r="C386" t="inlineStr">
        <is>
          <t>TEA02</t>
        </is>
      </c>
      <c r="D386" t="inlineStr">
        <is>
          <t>FORWINCH</t>
        </is>
      </c>
      <c r="E386" t="inlineStr">
        <is>
          <t>COIHUECO Y OTROS (BB)</t>
        </is>
      </c>
      <c r="F386" t="inlineStr">
        <is>
          <t>PIRA</t>
        </is>
      </c>
      <c r="G386" t="n">
        <v>720</v>
      </c>
      <c r="H386" t="n">
        <v>0</v>
      </c>
      <c r="I386" t="n">
        <v>9</v>
      </c>
      <c r="J386" t="n">
        <v>56</v>
      </c>
      <c r="K386" t="n">
        <v>0</v>
      </c>
      <c r="L386" t="n">
        <v>35.23</v>
      </c>
      <c r="M386" t="n">
        <v>0</v>
      </c>
      <c r="N386" t="n">
        <v>120</v>
      </c>
      <c r="O386" t="n">
        <v>100</v>
      </c>
      <c r="P386" t="n">
        <v>3.91</v>
      </c>
    </row>
    <row r="387">
      <c r="A387" t="n">
        <v>826875</v>
      </c>
      <c r="B387" t="inlineStr">
        <is>
          <t>09-05-2026</t>
        </is>
      </c>
      <c r="C387" t="inlineStr">
        <is>
          <t>TEA02</t>
        </is>
      </c>
      <c r="D387" t="inlineStr">
        <is>
          <t>FORWINCH</t>
        </is>
      </c>
      <c r="E387" t="inlineStr">
        <is>
          <t>COIHUECO Y OTROS (BB)</t>
        </is>
      </c>
      <c r="F387" t="inlineStr">
        <is>
          <t>PIRA</t>
        </is>
      </c>
      <c r="G387" t="n">
        <v>720</v>
      </c>
      <c r="H387" t="n">
        <v>0</v>
      </c>
      <c r="I387" t="n">
        <v>9</v>
      </c>
      <c r="J387" t="n">
        <v>56</v>
      </c>
      <c r="K387" t="n">
        <v>0</v>
      </c>
      <c r="L387" t="n">
        <v>16.7</v>
      </c>
      <c r="M387" t="n">
        <v>0</v>
      </c>
      <c r="N387" t="n">
        <v>120</v>
      </c>
      <c r="O387" t="n">
        <v>100</v>
      </c>
      <c r="P387" t="n">
        <v>1.86</v>
      </c>
    </row>
    <row r="388">
      <c r="A388" t="n">
        <v>826875</v>
      </c>
      <c r="B388" t="inlineStr">
        <is>
          <t>09-05-2026</t>
        </is>
      </c>
      <c r="C388" t="inlineStr">
        <is>
          <t>TEA02</t>
        </is>
      </c>
      <c r="D388" t="inlineStr">
        <is>
          <t>FORWINCH</t>
        </is>
      </c>
      <c r="E388" t="inlineStr">
        <is>
          <t>COIHUECO Y OTROS (BB)</t>
        </is>
      </c>
      <c r="F388" t="inlineStr">
        <is>
          <t>PIRA</t>
        </is>
      </c>
      <c r="G388" t="n">
        <v>720</v>
      </c>
      <c r="H388" t="n">
        <v>0</v>
      </c>
      <c r="I388" t="n">
        <v>9</v>
      </c>
      <c r="J388" t="n">
        <v>56</v>
      </c>
      <c r="K388" t="n">
        <v>0</v>
      </c>
      <c r="L388" t="n">
        <v>13.22</v>
      </c>
      <c r="M388" t="n">
        <v>0</v>
      </c>
      <c r="N388" t="n">
        <v>120</v>
      </c>
      <c r="O388" t="n">
        <v>100</v>
      </c>
      <c r="P388" t="n">
        <v>1.47</v>
      </c>
    </row>
    <row r="389">
      <c r="A389" t="n">
        <v>826875</v>
      </c>
      <c r="B389" t="inlineStr">
        <is>
          <t>09-05-2026</t>
        </is>
      </c>
      <c r="C389" t="inlineStr">
        <is>
          <t>TEA02</t>
        </is>
      </c>
      <c r="D389" t="inlineStr">
        <is>
          <t>FORWINCH</t>
        </is>
      </c>
      <c r="E389" t="inlineStr">
        <is>
          <t>COIHUECO Y OTROS (BB)</t>
        </is>
      </c>
      <c r="F389" t="inlineStr">
        <is>
          <t>PIRA</t>
        </is>
      </c>
      <c r="G389" t="n">
        <v>720</v>
      </c>
      <c r="H389" t="n">
        <v>0</v>
      </c>
      <c r="I389" t="n">
        <v>9</v>
      </c>
      <c r="J389" t="n">
        <v>56</v>
      </c>
      <c r="K389" t="n">
        <v>0</v>
      </c>
      <c r="L389" t="n">
        <v>22.51</v>
      </c>
      <c r="M389" t="n">
        <v>0</v>
      </c>
      <c r="N389" t="n">
        <v>120</v>
      </c>
      <c r="O389" t="n">
        <v>100</v>
      </c>
      <c r="P389" t="n">
        <v>2.5</v>
      </c>
    </row>
    <row r="390">
      <c r="A390" t="n">
        <v>826886</v>
      </c>
      <c r="B390" t="inlineStr">
        <is>
          <t>09-05-2026</t>
        </is>
      </c>
      <c r="C390" t="inlineStr">
        <is>
          <t>S223</t>
        </is>
      </c>
      <c r="D390" t="inlineStr">
        <is>
          <t>SKIDDER</t>
        </is>
      </c>
      <c r="E390" t="inlineStr">
        <is>
          <t>LAS ULLOAS (BB)</t>
        </is>
      </c>
      <c r="F390" t="inlineStr">
        <is>
          <t>PIRA</t>
        </is>
      </c>
      <c r="G390" t="n">
        <v>720</v>
      </c>
      <c r="H390" t="n">
        <v>0</v>
      </c>
      <c r="I390" t="n">
        <v>6</v>
      </c>
      <c r="J390" t="n">
        <v>50</v>
      </c>
      <c r="K390" t="n">
        <v>0</v>
      </c>
      <c r="L390" t="n">
        <v>0</v>
      </c>
      <c r="M390" t="n">
        <v>0</v>
      </c>
      <c r="N390" t="n">
        <v>300</v>
      </c>
      <c r="O390" t="n">
        <v>100</v>
      </c>
      <c r="P390" t="n">
        <v>0</v>
      </c>
    </row>
    <row r="391">
      <c r="A391" t="n">
        <v>826886</v>
      </c>
      <c r="B391" t="inlineStr">
        <is>
          <t>09-05-2026</t>
        </is>
      </c>
      <c r="C391" t="inlineStr">
        <is>
          <t>S223</t>
        </is>
      </c>
      <c r="D391" t="inlineStr">
        <is>
          <t>SKIDDER</t>
        </is>
      </c>
      <c r="E391" t="inlineStr">
        <is>
          <t>LAS ULLOAS (BB)</t>
        </is>
      </c>
      <c r="F391" t="inlineStr">
        <is>
          <t>PIRA</t>
        </is>
      </c>
      <c r="G391" t="n">
        <v>720</v>
      </c>
      <c r="H391" t="n">
        <v>0</v>
      </c>
      <c r="I391" t="n">
        <v>6</v>
      </c>
      <c r="J391" t="n">
        <v>50</v>
      </c>
      <c r="K391" t="n">
        <v>0</v>
      </c>
      <c r="L391" t="n">
        <v>4.94</v>
      </c>
      <c r="M391" t="n">
        <v>0</v>
      </c>
      <c r="N391" t="n">
        <v>300</v>
      </c>
      <c r="O391" t="n">
        <v>100</v>
      </c>
      <c r="P391" t="n">
        <v>0.82</v>
      </c>
    </row>
    <row r="392">
      <c r="A392" t="n">
        <v>826886</v>
      </c>
      <c r="B392" t="inlineStr">
        <is>
          <t>09-05-2026</t>
        </is>
      </c>
      <c r="C392" t="inlineStr">
        <is>
          <t>S223</t>
        </is>
      </c>
      <c r="D392" t="inlineStr">
        <is>
          <t>SKIDDER</t>
        </is>
      </c>
      <c r="E392" t="inlineStr">
        <is>
          <t>LAS ULLOAS (BB)</t>
        </is>
      </c>
      <c r="F392" t="inlineStr">
        <is>
          <t>PIRA</t>
        </is>
      </c>
      <c r="G392" t="n">
        <v>720</v>
      </c>
      <c r="H392" t="n">
        <v>0</v>
      </c>
      <c r="I392" t="n">
        <v>6</v>
      </c>
      <c r="J392" t="n">
        <v>50</v>
      </c>
      <c r="K392" t="n">
        <v>0</v>
      </c>
      <c r="L392" t="n">
        <v>15.09</v>
      </c>
      <c r="M392" t="n">
        <v>0</v>
      </c>
      <c r="N392" t="n">
        <v>300</v>
      </c>
      <c r="O392" t="n">
        <v>100</v>
      </c>
      <c r="P392" t="n">
        <v>2.51</v>
      </c>
    </row>
    <row r="393">
      <c r="A393" t="n">
        <v>826886</v>
      </c>
      <c r="B393" t="inlineStr">
        <is>
          <t>09-05-2026</t>
        </is>
      </c>
      <c r="C393" t="inlineStr">
        <is>
          <t>S223</t>
        </is>
      </c>
      <c r="D393" t="inlineStr">
        <is>
          <t>SKIDDER</t>
        </is>
      </c>
      <c r="E393" t="inlineStr">
        <is>
          <t>LAS ULLOAS (BB)</t>
        </is>
      </c>
      <c r="F393" t="inlineStr">
        <is>
          <t>PIRA</t>
        </is>
      </c>
      <c r="G393" t="n">
        <v>720</v>
      </c>
      <c r="H393" t="n">
        <v>0</v>
      </c>
      <c r="I393" t="n">
        <v>6</v>
      </c>
      <c r="J393" t="n">
        <v>50</v>
      </c>
      <c r="K393" t="n">
        <v>0</v>
      </c>
      <c r="L393" t="n">
        <v>47.49</v>
      </c>
      <c r="M393" t="n">
        <v>0</v>
      </c>
      <c r="N393" t="n">
        <v>300</v>
      </c>
      <c r="O393" t="n">
        <v>100</v>
      </c>
      <c r="P393" t="n">
        <v>7.92</v>
      </c>
    </row>
    <row r="394">
      <c r="A394" t="n">
        <v>826886</v>
      </c>
      <c r="B394" t="inlineStr">
        <is>
          <t>09-05-2026</t>
        </is>
      </c>
      <c r="C394" t="inlineStr">
        <is>
          <t>S223</t>
        </is>
      </c>
      <c r="D394" t="inlineStr">
        <is>
          <t>SKIDDER</t>
        </is>
      </c>
      <c r="E394" t="inlineStr">
        <is>
          <t>LAS ULLOAS (BB)</t>
        </is>
      </c>
      <c r="F394" t="inlineStr">
        <is>
          <t>PIRA</t>
        </is>
      </c>
      <c r="G394" t="n">
        <v>720</v>
      </c>
      <c r="H394" t="n">
        <v>0</v>
      </c>
      <c r="I394" t="n">
        <v>6</v>
      </c>
      <c r="J394" t="n">
        <v>50</v>
      </c>
      <c r="K394" t="n">
        <v>0</v>
      </c>
      <c r="L394" t="n">
        <v>64.45</v>
      </c>
      <c r="M394" t="n">
        <v>0</v>
      </c>
      <c r="N394" t="n">
        <v>300</v>
      </c>
      <c r="O394" t="n">
        <v>100</v>
      </c>
      <c r="P394" t="n">
        <v>10.74</v>
      </c>
    </row>
    <row r="395">
      <c r="A395" t="n">
        <v>826921</v>
      </c>
      <c r="B395" t="inlineStr">
        <is>
          <t>09-05-2026</t>
        </is>
      </c>
      <c r="C395" t="inlineStr">
        <is>
          <t>TEA08</t>
        </is>
      </c>
      <c r="D395" t="inlineStr">
        <is>
          <t>FORWINCH</t>
        </is>
      </c>
      <c r="E395" t="inlineStr">
        <is>
          <t>COIHUECO Y OTROS (BB)</t>
        </is>
      </c>
      <c r="F395" t="inlineStr">
        <is>
          <t>PIRA</t>
        </is>
      </c>
      <c r="G395" t="n">
        <v>720</v>
      </c>
      <c r="H395" t="n">
        <v>0</v>
      </c>
      <c r="I395" t="n">
        <v>6</v>
      </c>
      <c r="J395" t="n">
        <v>25</v>
      </c>
      <c r="K395" t="n">
        <v>0</v>
      </c>
      <c r="L395" t="n">
        <v>1.92</v>
      </c>
      <c r="M395" t="n">
        <v>300</v>
      </c>
      <c r="N395" t="n">
        <v>300</v>
      </c>
      <c r="O395" t="n">
        <v>99.3</v>
      </c>
      <c r="P395" t="n">
        <v>0.32</v>
      </c>
    </row>
    <row r="396">
      <c r="A396" t="n">
        <v>826921</v>
      </c>
      <c r="B396" t="inlineStr">
        <is>
          <t>09-05-2026</t>
        </is>
      </c>
      <c r="C396" t="inlineStr">
        <is>
          <t>TEA08</t>
        </is>
      </c>
      <c r="D396" t="inlineStr">
        <is>
          <t>FORWINCH</t>
        </is>
      </c>
      <c r="E396" t="inlineStr">
        <is>
          <t>COIHUECO Y OTROS (BB)</t>
        </is>
      </c>
      <c r="F396" t="inlineStr">
        <is>
          <t>PIRA</t>
        </is>
      </c>
      <c r="G396" t="n">
        <v>720</v>
      </c>
      <c r="H396" t="n">
        <v>0</v>
      </c>
      <c r="I396" t="n">
        <v>6</v>
      </c>
      <c r="J396" t="n">
        <v>25</v>
      </c>
      <c r="K396" t="n">
        <v>0</v>
      </c>
      <c r="L396" t="n">
        <v>8.720000000000001</v>
      </c>
      <c r="M396" t="n">
        <v>300</v>
      </c>
      <c r="N396" t="n">
        <v>300</v>
      </c>
      <c r="O396" t="n">
        <v>99.3</v>
      </c>
      <c r="P396" t="n">
        <v>1.45</v>
      </c>
    </row>
    <row r="397">
      <c r="A397" t="n">
        <v>826944</v>
      </c>
      <c r="B397" t="inlineStr">
        <is>
          <t>10-05-2026</t>
        </is>
      </c>
      <c r="C397" t="inlineStr">
        <is>
          <t>T125</t>
        </is>
      </c>
      <c r="D397" t="inlineStr">
        <is>
          <t>TORRE500</t>
        </is>
      </c>
      <c r="E397" t="inlineStr">
        <is>
          <t>POLHUIN</t>
        </is>
      </c>
      <c r="F397" t="inlineStr">
        <is>
          <t>EUGL</t>
        </is>
      </c>
      <c r="G397" t="n">
        <v>720</v>
      </c>
      <c r="H397" t="n">
        <v>0</v>
      </c>
      <c r="I397" t="n">
        <v>7</v>
      </c>
      <c r="J397" t="n">
        <v>97</v>
      </c>
      <c r="K397" t="n">
        <v>0</v>
      </c>
      <c r="L397" t="n">
        <v>9.550000000000001</v>
      </c>
      <c r="M397" t="n">
        <v>0</v>
      </c>
      <c r="N397" t="n">
        <v>240</v>
      </c>
      <c r="O397" t="n">
        <v>100</v>
      </c>
      <c r="P397" t="n">
        <v>1.36</v>
      </c>
    </row>
    <row r="398">
      <c r="A398" t="n">
        <v>826944</v>
      </c>
      <c r="B398" t="inlineStr">
        <is>
          <t>10-05-2026</t>
        </is>
      </c>
      <c r="C398" t="inlineStr">
        <is>
          <t>T125</t>
        </is>
      </c>
      <c r="D398" t="inlineStr">
        <is>
          <t>TORRE500</t>
        </is>
      </c>
      <c r="E398" t="inlineStr">
        <is>
          <t>POLHUIN</t>
        </is>
      </c>
      <c r="F398" t="inlineStr">
        <is>
          <t>EUGL</t>
        </is>
      </c>
      <c r="G398" t="n">
        <v>720</v>
      </c>
      <c r="H398" t="n">
        <v>0</v>
      </c>
      <c r="I398" t="n">
        <v>7</v>
      </c>
      <c r="J398" t="n">
        <v>97</v>
      </c>
      <c r="K398" t="n">
        <v>0</v>
      </c>
      <c r="L398" t="n">
        <v>82.27</v>
      </c>
      <c r="M398" t="n">
        <v>0</v>
      </c>
      <c r="N398" t="n">
        <v>240</v>
      </c>
      <c r="O398" t="n">
        <v>100</v>
      </c>
      <c r="P398" t="n">
        <v>11.75</v>
      </c>
    </row>
    <row r="399">
      <c r="A399" t="n">
        <v>826947</v>
      </c>
      <c r="B399" t="inlineStr">
        <is>
          <t>10-05-2026</t>
        </is>
      </c>
      <c r="C399" t="inlineStr">
        <is>
          <t>S246</t>
        </is>
      </c>
      <c r="D399" t="inlineStr">
        <is>
          <t>SKIDDER</t>
        </is>
      </c>
      <c r="E399" t="inlineStr">
        <is>
          <t>COIHUECO Y OTROS (BB)</t>
        </is>
      </c>
      <c r="F399" t="inlineStr">
        <is>
          <t>PIRA</t>
        </is>
      </c>
      <c r="G399" t="n">
        <v>720</v>
      </c>
      <c r="H399" t="n">
        <v>0</v>
      </c>
      <c r="I399" t="n">
        <v>8</v>
      </c>
      <c r="J399" t="n">
        <v>30</v>
      </c>
      <c r="K399" t="n">
        <v>0</v>
      </c>
      <c r="L399" t="n">
        <v>19.15</v>
      </c>
      <c r="M399" t="n">
        <v>0</v>
      </c>
      <c r="N399" t="n">
        <v>180</v>
      </c>
      <c r="O399" t="n">
        <v>100</v>
      </c>
      <c r="P399" t="n">
        <v>2.39</v>
      </c>
    </row>
    <row r="400">
      <c r="A400" t="n">
        <v>826947</v>
      </c>
      <c r="B400" t="inlineStr">
        <is>
          <t>10-05-2026</t>
        </is>
      </c>
      <c r="C400" t="inlineStr">
        <is>
          <t>S246</t>
        </is>
      </c>
      <c r="D400" t="inlineStr">
        <is>
          <t>SKIDDER</t>
        </is>
      </c>
      <c r="E400" t="inlineStr">
        <is>
          <t>COIHUECO Y OTROS (BB)</t>
        </is>
      </c>
      <c r="F400" t="inlineStr">
        <is>
          <t>PIRA</t>
        </is>
      </c>
      <c r="G400" t="n">
        <v>720</v>
      </c>
      <c r="H400" t="n">
        <v>0</v>
      </c>
      <c r="I400" t="n">
        <v>8</v>
      </c>
      <c r="J400" t="n">
        <v>30</v>
      </c>
      <c r="K400" t="n">
        <v>0</v>
      </c>
      <c r="L400" t="n">
        <v>12.22</v>
      </c>
      <c r="M400" t="n">
        <v>0</v>
      </c>
      <c r="N400" t="n">
        <v>180</v>
      </c>
      <c r="O400" t="n">
        <v>100</v>
      </c>
      <c r="P400" t="n">
        <v>1.53</v>
      </c>
    </row>
    <row r="401">
      <c r="A401" t="n">
        <v>826947</v>
      </c>
      <c r="B401" t="inlineStr">
        <is>
          <t>10-05-2026</t>
        </is>
      </c>
      <c r="C401" t="inlineStr">
        <is>
          <t>S246</t>
        </is>
      </c>
      <c r="D401" t="inlineStr">
        <is>
          <t>SKIDDER</t>
        </is>
      </c>
      <c r="E401" t="inlineStr">
        <is>
          <t>COIHUECO Y OTROS (BB)</t>
        </is>
      </c>
      <c r="F401" t="inlineStr">
        <is>
          <t>PIRA</t>
        </is>
      </c>
      <c r="G401" t="n">
        <v>720</v>
      </c>
      <c r="H401" t="n">
        <v>0</v>
      </c>
      <c r="I401" t="n">
        <v>8</v>
      </c>
      <c r="J401" t="n">
        <v>30</v>
      </c>
      <c r="K401" t="n">
        <v>0</v>
      </c>
      <c r="L401" t="n">
        <v>15.05</v>
      </c>
      <c r="M401" t="n">
        <v>0</v>
      </c>
      <c r="N401" t="n">
        <v>180</v>
      </c>
      <c r="O401" t="n">
        <v>100</v>
      </c>
      <c r="P401" t="n">
        <v>1.88</v>
      </c>
    </row>
    <row r="402">
      <c r="A402" t="n">
        <v>826947</v>
      </c>
      <c r="B402" t="inlineStr">
        <is>
          <t>10-05-2026</t>
        </is>
      </c>
      <c r="C402" t="inlineStr">
        <is>
          <t>S246</t>
        </is>
      </c>
      <c r="D402" t="inlineStr">
        <is>
          <t>SKIDDER</t>
        </is>
      </c>
      <c r="E402" t="inlineStr">
        <is>
          <t>COIHUECO Y OTROS (BB)</t>
        </is>
      </c>
      <c r="F402" t="inlineStr">
        <is>
          <t>PIRA</t>
        </is>
      </c>
      <c r="G402" t="n">
        <v>720</v>
      </c>
      <c r="H402" t="n">
        <v>0</v>
      </c>
      <c r="I402" t="n">
        <v>8</v>
      </c>
      <c r="J402" t="n">
        <v>30</v>
      </c>
      <c r="K402" t="n">
        <v>0</v>
      </c>
      <c r="L402" t="n">
        <v>0</v>
      </c>
      <c r="M402" t="n">
        <v>0</v>
      </c>
      <c r="N402" t="n">
        <v>180</v>
      </c>
      <c r="O402" t="n">
        <v>100</v>
      </c>
      <c r="P402" t="n">
        <v>0</v>
      </c>
    </row>
    <row r="403">
      <c r="A403" t="n">
        <v>826947</v>
      </c>
      <c r="B403" t="inlineStr">
        <is>
          <t>10-05-2026</t>
        </is>
      </c>
      <c r="C403" t="inlineStr">
        <is>
          <t>S246</t>
        </is>
      </c>
      <c r="D403" t="inlineStr">
        <is>
          <t>SKIDDER</t>
        </is>
      </c>
      <c r="E403" t="inlineStr">
        <is>
          <t>COIHUECO Y OTROS (BB)</t>
        </is>
      </c>
      <c r="F403" t="inlineStr">
        <is>
          <t>PIRA</t>
        </is>
      </c>
      <c r="G403" t="n">
        <v>720</v>
      </c>
      <c r="H403" t="n">
        <v>0</v>
      </c>
      <c r="I403" t="n">
        <v>8</v>
      </c>
      <c r="J403" t="n">
        <v>30</v>
      </c>
      <c r="K403" t="n">
        <v>0</v>
      </c>
      <c r="L403" t="n">
        <v>17.1</v>
      </c>
      <c r="M403" t="n">
        <v>0</v>
      </c>
      <c r="N403" t="n">
        <v>180</v>
      </c>
      <c r="O403" t="n">
        <v>100</v>
      </c>
      <c r="P403" t="n">
        <v>2.14</v>
      </c>
    </row>
    <row r="404">
      <c r="A404" t="n">
        <v>826947</v>
      </c>
      <c r="B404" t="inlineStr">
        <is>
          <t>10-05-2026</t>
        </is>
      </c>
      <c r="C404" t="inlineStr">
        <is>
          <t>S246</t>
        </is>
      </c>
      <c r="D404" t="inlineStr">
        <is>
          <t>SKIDDER</t>
        </is>
      </c>
      <c r="E404" t="inlineStr">
        <is>
          <t>COIHUECO Y OTROS (BB)</t>
        </is>
      </c>
      <c r="F404" t="inlineStr">
        <is>
          <t>PIRA</t>
        </is>
      </c>
      <c r="G404" t="n">
        <v>720</v>
      </c>
      <c r="H404" t="n">
        <v>0</v>
      </c>
      <c r="I404" t="n">
        <v>8</v>
      </c>
      <c r="J404" t="n">
        <v>30</v>
      </c>
      <c r="K404" t="n">
        <v>0</v>
      </c>
      <c r="L404" t="n">
        <v>14.88</v>
      </c>
      <c r="M404" t="n">
        <v>0</v>
      </c>
      <c r="N404" t="n">
        <v>180</v>
      </c>
      <c r="O404" t="n">
        <v>100</v>
      </c>
      <c r="P404" t="n">
        <v>1.86</v>
      </c>
    </row>
    <row r="405">
      <c r="A405" t="n">
        <v>826947</v>
      </c>
      <c r="B405" t="inlineStr">
        <is>
          <t>10-05-2026</t>
        </is>
      </c>
      <c r="C405" t="inlineStr">
        <is>
          <t>S246</t>
        </is>
      </c>
      <c r="D405" t="inlineStr">
        <is>
          <t>SKIDDER</t>
        </is>
      </c>
      <c r="E405" t="inlineStr">
        <is>
          <t>COIHUECO Y OTROS (BB)</t>
        </is>
      </c>
      <c r="F405" t="inlineStr">
        <is>
          <t>PIRA</t>
        </is>
      </c>
      <c r="G405" t="n">
        <v>720</v>
      </c>
      <c r="H405" t="n">
        <v>0</v>
      </c>
      <c r="I405" t="n">
        <v>8</v>
      </c>
      <c r="J405" t="n">
        <v>30</v>
      </c>
      <c r="K405" t="n">
        <v>0</v>
      </c>
      <c r="L405" t="n">
        <v>27.84</v>
      </c>
      <c r="M405" t="n">
        <v>0</v>
      </c>
      <c r="N405" t="n">
        <v>180</v>
      </c>
      <c r="O405" t="n">
        <v>100</v>
      </c>
      <c r="P405" t="n">
        <v>3.48</v>
      </c>
    </row>
    <row r="406">
      <c r="A406" t="n">
        <v>826947</v>
      </c>
      <c r="B406" t="inlineStr">
        <is>
          <t>10-05-2026</t>
        </is>
      </c>
      <c r="C406" t="inlineStr">
        <is>
          <t>S246</t>
        </is>
      </c>
      <c r="D406" t="inlineStr">
        <is>
          <t>SKIDDER</t>
        </is>
      </c>
      <c r="E406" t="inlineStr">
        <is>
          <t>COIHUECO Y OTROS (BB)</t>
        </is>
      </c>
      <c r="F406" t="inlineStr">
        <is>
          <t>PIRA</t>
        </is>
      </c>
      <c r="G406" t="n">
        <v>720</v>
      </c>
      <c r="H406" t="n">
        <v>0</v>
      </c>
      <c r="I406" t="n">
        <v>8</v>
      </c>
      <c r="J406" t="n">
        <v>30</v>
      </c>
      <c r="K406" t="n">
        <v>0</v>
      </c>
      <c r="L406" t="n">
        <v>16.24</v>
      </c>
      <c r="M406" t="n">
        <v>0</v>
      </c>
      <c r="N406" t="n">
        <v>180</v>
      </c>
      <c r="O406" t="n">
        <v>100</v>
      </c>
      <c r="P406" t="n">
        <v>2.03</v>
      </c>
    </row>
    <row r="407">
      <c r="A407" t="n">
        <v>826947</v>
      </c>
      <c r="B407" t="inlineStr">
        <is>
          <t>10-05-2026</t>
        </is>
      </c>
      <c r="C407" t="inlineStr">
        <is>
          <t>S246</t>
        </is>
      </c>
      <c r="D407" t="inlineStr">
        <is>
          <t>SKIDDER</t>
        </is>
      </c>
      <c r="E407" t="inlineStr">
        <is>
          <t>COIHUECO Y OTROS (BB)</t>
        </is>
      </c>
      <c r="F407" t="inlineStr">
        <is>
          <t>PIRA</t>
        </is>
      </c>
      <c r="G407" t="n">
        <v>720</v>
      </c>
      <c r="H407" t="n">
        <v>0</v>
      </c>
      <c r="I407" t="n">
        <v>8</v>
      </c>
      <c r="J407" t="n">
        <v>30</v>
      </c>
      <c r="K407" t="n">
        <v>0</v>
      </c>
      <c r="L407" t="n">
        <v>13.66</v>
      </c>
      <c r="M407" t="n">
        <v>0</v>
      </c>
      <c r="N407" t="n">
        <v>180</v>
      </c>
      <c r="O407" t="n">
        <v>100</v>
      </c>
      <c r="P407" t="n">
        <v>1.71</v>
      </c>
    </row>
    <row r="408">
      <c r="A408" t="n">
        <v>826947</v>
      </c>
      <c r="B408" t="inlineStr">
        <is>
          <t>10-05-2026</t>
        </is>
      </c>
      <c r="C408" t="inlineStr">
        <is>
          <t>S246</t>
        </is>
      </c>
      <c r="D408" t="inlineStr">
        <is>
          <t>SKIDDER</t>
        </is>
      </c>
      <c r="E408" t="inlineStr">
        <is>
          <t>COIHUECO Y OTROS (BB)</t>
        </is>
      </c>
      <c r="F408" t="inlineStr">
        <is>
          <t>PIRA</t>
        </is>
      </c>
      <c r="G408" t="n">
        <v>720</v>
      </c>
      <c r="H408" t="n">
        <v>0</v>
      </c>
      <c r="I408" t="n">
        <v>8</v>
      </c>
      <c r="J408" t="n">
        <v>30</v>
      </c>
      <c r="K408" t="n">
        <v>0</v>
      </c>
      <c r="L408" t="n">
        <v>4.05</v>
      </c>
      <c r="M408" t="n">
        <v>0</v>
      </c>
      <c r="N408" t="n">
        <v>180</v>
      </c>
      <c r="O408" t="n">
        <v>100</v>
      </c>
      <c r="P408" t="n">
        <v>0.51</v>
      </c>
    </row>
    <row r="409">
      <c r="A409" t="n">
        <v>826955</v>
      </c>
      <c r="B409" t="inlineStr">
        <is>
          <t>10-05-2026</t>
        </is>
      </c>
      <c r="C409" t="inlineStr">
        <is>
          <t>S223</t>
        </is>
      </c>
      <c r="D409" t="inlineStr">
        <is>
          <t>SKIDDER</t>
        </is>
      </c>
      <c r="E409" t="inlineStr">
        <is>
          <t>LAS ULLOAS (BB)</t>
        </is>
      </c>
      <c r="F409" t="inlineStr">
        <is>
          <t>PIRA</t>
        </is>
      </c>
      <c r="G409" t="n">
        <v>720</v>
      </c>
      <c r="H409" t="n">
        <v>0</v>
      </c>
      <c r="I409" t="n">
        <v>8</v>
      </c>
      <c r="J409" t="n">
        <v>7</v>
      </c>
      <c r="K409" t="n">
        <v>0</v>
      </c>
      <c r="L409" t="n">
        <v>5.44</v>
      </c>
      <c r="M409" t="n">
        <v>0</v>
      </c>
      <c r="N409" t="n">
        <v>180</v>
      </c>
      <c r="O409" t="n">
        <v>100</v>
      </c>
      <c r="P409" t="n">
        <v>0.68</v>
      </c>
    </row>
    <row r="410">
      <c r="A410" t="n">
        <v>826955</v>
      </c>
      <c r="B410" t="inlineStr">
        <is>
          <t>10-05-2026</t>
        </is>
      </c>
      <c r="C410" t="inlineStr">
        <is>
          <t>S223</t>
        </is>
      </c>
      <c r="D410" t="inlineStr">
        <is>
          <t>SKIDDER</t>
        </is>
      </c>
      <c r="E410" t="inlineStr">
        <is>
          <t>LAS ULLOAS (BB)</t>
        </is>
      </c>
      <c r="F410" t="inlineStr">
        <is>
          <t>PIRA</t>
        </is>
      </c>
      <c r="G410" t="n">
        <v>720</v>
      </c>
      <c r="H410" t="n">
        <v>0</v>
      </c>
      <c r="I410" t="n">
        <v>8</v>
      </c>
      <c r="J410" t="n">
        <v>7</v>
      </c>
      <c r="K410" t="n">
        <v>0</v>
      </c>
      <c r="L410" t="n">
        <v>3.09</v>
      </c>
      <c r="M410" t="n">
        <v>0</v>
      </c>
      <c r="N410" t="n">
        <v>180</v>
      </c>
      <c r="O410" t="n">
        <v>100</v>
      </c>
      <c r="P410" t="n">
        <v>0.39</v>
      </c>
    </row>
    <row r="411">
      <c r="A411" t="n">
        <v>826955</v>
      </c>
      <c r="B411" t="inlineStr">
        <is>
          <t>10-05-2026</t>
        </is>
      </c>
      <c r="C411" t="inlineStr">
        <is>
          <t>S223</t>
        </is>
      </c>
      <c r="D411" t="inlineStr">
        <is>
          <t>SKIDDER</t>
        </is>
      </c>
      <c r="E411" t="inlineStr">
        <is>
          <t>LAS ULLOAS (BB)</t>
        </is>
      </c>
      <c r="F411" t="inlineStr">
        <is>
          <t>PIRA</t>
        </is>
      </c>
      <c r="G411" t="n">
        <v>720</v>
      </c>
      <c r="H411" t="n">
        <v>0</v>
      </c>
      <c r="I411" t="n">
        <v>8</v>
      </c>
      <c r="J411" t="n">
        <v>7</v>
      </c>
      <c r="K411" t="n">
        <v>0</v>
      </c>
      <c r="L411" t="n">
        <v>12.52</v>
      </c>
      <c r="M411" t="n">
        <v>0</v>
      </c>
      <c r="N411" t="n">
        <v>180</v>
      </c>
      <c r="O411" t="n">
        <v>100</v>
      </c>
      <c r="P411" t="n">
        <v>1.56</v>
      </c>
    </row>
    <row r="412">
      <c r="A412" t="n">
        <v>826955</v>
      </c>
      <c r="B412" t="inlineStr">
        <is>
          <t>10-05-2026</t>
        </is>
      </c>
      <c r="C412" t="inlineStr">
        <is>
          <t>S223</t>
        </is>
      </c>
      <c r="D412" t="inlineStr">
        <is>
          <t>SKIDDER</t>
        </is>
      </c>
      <c r="E412" t="inlineStr">
        <is>
          <t>LAS ULLOAS (BB)</t>
        </is>
      </c>
      <c r="F412" t="inlineStr">
        <is>
          <t>PIRA</t>
        </is>
      </c>
      <c r="G412" t="n">
        <v>720</v>
      </c>
      <c r="H412" t="n">
        <v>0</v>
      </c>
      <c r="I412" t="n">
        <v>8</v>
      </c>
      <c r="J412" t="n">
        <v>7</v>
      </c>
      <c r="K412" t="n">
        <v>0</v>
      </c>
      <c r="L412" t="n">
        <v>32.79</v>
      </c>
      <c r="M412" t="n">
        <v>0</v>
      </c>
      <c r="N412" t="n">
        <v>180</v>
      </c>
      <c r="O412" t="n">
        <v>100</v>
      </c>
      <c r="P412" t="n">
        <v>4.1</v>
      </c>
    </row>
    <row r="413">
      <c r="A413" t="n">
        <v>826955</v>
      </c>
      <c r="B413" t="inlineStr">
        <is>
          <t>10-05-2026</t>
        </is>
      </c>
      <c r="C413" t="inlineStr">
        <is>
          <t>S223</t>
        </is>
      </c>
      <c r="D413" t="inlineStr">
        <is>
          <t>SKIDDER</t>
        </is>
      </c>
      <c r="E413" t="inlineStr">
        <is>
          <t>LAS ULLOAS (BB)</t>
        </is>
      </c>
      <c r="F413" t="inlineStr">
        <is>
          <t>PIRA</t>
        </is>
      </c>
      <c r="G413" t="n">
        <v>720</v>
      </c>
      <c r="H413" t="n">
        <v>0</v>
      </c>
      <c r="I413" t="n">
        <v>8</v>
      </c>
      <c r="J413" t="n">
        <v>7</v>
      </c>
      <c r="K413" t="n">
        <v>0</v>
      </c>
      <c r="L413" t="n">
        <v>60.98</v>
      </c>
      <c r="M413" t="n">
        <v>0</v>
      </c>
      <c r="N413" t="n">
        <v>180</v>
      </c>
      <c r="O413" t="n">
        <v>100</v>
      </c>
      <c r="P413" t="n">
        <v>7.62</v>
      </c>
    </row>
    <row r="414">
      <c r="A414" t="n">
        <v>826959</v>
      </c>
      <c r="B414" t="inlineStr">
        <is>
          <t>10-05-2026</t>
        </is>
      </c>
      <c r="C414" t="inlineStr">
        <is>
          <t>S123</t>
        </is>
      </c>
      <c r="D414" t="inlineStr">
        <is>
          <t>SKIDDER</t>
        </is>
      </c>
      <c r="E414" t="inlineStr">
        <is>
          <t>EL CABRITO CBB</t>
        </is>
      </c>
      <c r="F414" t="inlineStr">
        <is>
          <t>PIRA</t>
        </is>
      </c>
      <c r="G414" t="n">
        <v>720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660</v>
      </c>
      <c r="O414" t="n">
        <v>100</v>
      </c>
      <c r="P414" t="n">
        <v>0</v>
      </c>
    </row>
    <row r="415">
      <c r="A415" t="n">
        <v>826959</v>
      </c>
      <c r="B415" t="inlineStr">
        <is>
          <t>10-05-2026</t>
        </is>
      </c>
      <c r="C415" t="inlineStr">
        <is>
          <t>S123</t>
        </is>
      </c>
      <c r="D415" t="inlineStr">
        <is>
          <t>SKIDDER</t>
        </is>
      </c>
      <c r="E415" t="inlineStr">
        <is>
          <t>EL CABRITO CBB</t>
        </is>
      </c>
      <c r="F415" t="inlineStr">
        <is>
          <t>PIRA</t>
        </is>
      </c>
      <c r="G415" t="n">
        <v>720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660</v>
      </c>
      <c r="O415" t="n">
        <v>100</v>
      </c>
      <c r="P415" t="n">
        <v>0</v>
      </c>
    </row>
    <row r="416">
      <c r="A416" t="n">
        <v>826959</v>
      </c>
      <c r="B416" t="inlineStr">
        <is>
          <t>10-05-2026</t>
        </is>
      </c>
      <c r="C416" t="inlineStr">
        <is>
          <t>S123</t>
        </is>
      </c>
      <c r="D416" t="inlineStr">
        <is>
          <t>SKIDDER</t>
        </is>
      </c>
      <c r="E416" t="inlineStr">
        <is>
          <t>EL CABRITO CBB</t>
        </is>
      </c>
      <c r="F416" t="inlineStr">
        <is>
          <t>PIRA</t>
        </is>
      </c>
      <c r="G416" t="n">
        <v>720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660</v>
      </c>
      <c r="O416" t="n">
        <v>100</v>
      </c>
      <c r="P416" t="n">
        <v>0</v>
      </c>
    </row>
    <row r="417">
      <c r="A417" t="n">
        <v>826959</v>
      </c>
      <c r="B417" t="inlineStr">
        <is>
          <t>10-05-2026</t>
        </is>
      </c>
      <c r="C417" t="inlineStr">
        <is>
          <t>S123</t>
        </is>
      </c>
      <c r="D417" t="inlineStr">
        <is>
          <t>SKIDDER</t>
        </is>
      </c>
      <c r="E417" t="inlineStr">
        <is>
          <t>EL CABRITO CBB</t>
        </is>
      </c>
      <c r="F417" t="inlineStr">
        <is>
          <t>PIRA</t>
        </is>
      </c>
      <c r="G417" t="n">
        <v>720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660</v>
      </c>
      <c r="O417" t="n">
        <v>100</v>
      </c>
      <c r="P417" t="n">
        <v>0</v>
      </c>
    </row>
    <row r="418">
      <c r="A418" t="n">
        <v>826959</v>
      </c>
      <c r="B418" t="inlineStr">
        <is>
          <t>10-05-2026</t>
        </is>
      </c>
      <c r="C418" t="inlineStr">
        <is>
          <t>S123</t>
        </is>
      </c>
      <c r="D418" t="inlineStr">
        <is>
          <t>SKIDDER</t>
        </is>
      </c>
      <c r="E418" t="inlineStr">
        <is>
          <t>EL CABRITO CBB</t>
        </is>
      </c>
      <c r="F418" t="inlineStr">
        <is>
          <t>PIRA</t>
        </is>
      </c>
      <c r="G418" t="n">
        <v>720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660</v>
      </c>
      <c r="O418" t="n">
        <v>100</v>
      </c>
      <c r="P418" t="n">
        <v>0</v>
      </c>
    </row>
    <row r="419">
      <c r="A419" t="n">
        <v>826959</v>
      </c>
      <c r="B419" t="inlineStr">
        <is>
          <t>10-05-2026</t>
        </is>
      </c>
      <c r="C419" t="inlineStr">
        <is>
          <t>S123</t>
        </is>
      </c>
      <c r="D419" t="inlineStr">
        <is>
          <t>SKIDDER</t>
        </is>
      </c>
      <c r="E419" t="inlineStr">
        <is>
          <t>EL CABRITO CBB</t>
        </is>
      </c>
      <c r="F419" t="inlineStr">
        <is>
          <t>PIRA</t>
        </is>
      </c>
      <c r="G419" t="n">
        <v>720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660</v>
      </c>
      <c r="O419" t="n">
        <v>100</v>
      </c>
      <c r="P419" t="n">
        <v>0</v>
      </c>
    </row>
    <row r="420">
      <c r="A420" t="n">
        <v>826959</v>
      </c>
      <c r="B420" t="inlineStr">
        <is>
          <t>10-05-2026</t>
        </is>
      </c>
      <c r="C420" t="inlineStr">
        <is>
          <t>S123</t>
        </is>
      </c>
      <c r="D420" t="inlineStr">
        <is>
          <t>SKIDDER</t>
        </is>
      </c>
      <c r="E420" t="inlineStr">
        <is>
          <t>EL CABRITO CBB</t>
        </is>
      </c>
      <c r="F420" t="inlineStr">
        <is>
          <t>PIRA</t>
        </is>
      </c>
      <c r="G420" t="n">
        <v>720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660</v>
      </c>
      <c r="O420" t="n">
        <v>100</v>
      </c>
      <c r="P420" t="n">
        <v>0</v>
      </c>
    </row>
    <row r="421">
      <c r="A421" t="n">
        <v>826959</v>
      </c>
      <c r="B421" t="inlineStr">
        <is>
          <t>10-05-2026</t>
        </is>
      </c>
      <c r="C421" t="inlineStr">
        <is>
          <t>S123</t>
        </is>
      </c>
      <c r="D421" t="inlineStr">
        <is>
          <t>SKIDDER</t>
        </is>
      </c>
      <c r="E421" t="inlineStr">
        <is>
          <t>EL CABRITO CBB</t>
        </is>
      </c>
      <c r="F421" t="inlineStr">
        <is>
          <t>PIRA</t>
        </is>
      </c>
      <c r="G421" t="n">
        <v>720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660</v>
      </c>
      <c r="O421" t="n">
        <v>100</v>
      </c>
      <c r="P421" t="n">
        <v>0</v>
      </c>
    </row>
    <row r="422">
      <c r="A422" t="n">
        <v>826959</v>
      </c>
      <c r="B422" t="inlineStr">
        <is>
          <t>10-05-2026</t>
        </is>
      </c>
      <c r="C422" t="inlineStr">
        <is>
          <t>S123</t>
        </is>
      </c>
      <c r="D422" t="inlineStr">
        <is>
          <t>SKIDDER</t>
        </is>
      </c>
      <c r="E422" t="inlineStr">
        <is>
          <t>EL CABRITO CBB</t>
        </is>
      </c>
      <c r="F422" t="inlineStr">
        <is>
          <t>PIRA</t>
        </is>
      </c>
      <c r="G422" t="n">
        <v>720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660</v>
      </c>
      <c r="O422" t="n">
        <v>100</v>
      </c>
      <c r="P422" t="n">
        <v>0</v>
      </c>
    </row>
    <row r="423">
      <c r="A423" t="n">
        <v>826969</v>
      </c>
      <c r="B423" t="inlineStr">
        <is>
          <t>10-05-2026</t>
        </is>
      </c>
      <c r="C423" t="inlineStr">
        <is>
          <t>S58</t>
        </is>
      </c>
      <c r="D423" t="inlineStr">
        <is>
          <t>SKIDDER</t>
        </is>
      </c>
      <c r="E423" t="inlineStr">
        <is>
          <t>COIHUECO Y OTROS (BB)</t>
        </is>
      </c>
      <c r="F423" t="inlineStr">
        <is>
          <t>PIRA</t>
        </is>
      </c>
      <c r="G423" t="n">
        <v>720</v>
      </c>
      <c r="H423" t="n">
        <v>0</v>
      </c>
      <c r="I423" t="n">
        <v>10</v>
      </c>
      <c r="J423" t="n">
        <v>50</v>
      </c>
      <c r="K423" t="n">
        <v>0</v>
      </c>
      <c r="L423" t="n">
        <v>19.95</v>
      </c>
      <c r="M423" t="n">
        <v>60</v>
      </c>
      <c r="N423" t="n">
        <v>60</v>
      </c>
      <c r="O423" t="n">
        <v>99.90000000000001</v>
      </c>
      <c r="P423" t="n">
        <v>2</v>
      </c>
    </row>
    <row r="424">
      <c r="A424" t="n">
        <v>826969</v>
      </c>
      <c r="B424" t="inlineStr">
        <is>
          <t>10-05-2026</t>
        </is>
      </c>
      <c r="C424" t="inlineStr">
        <is>
          <t>S58</t>
        </is>
      </c>
      <c r="D424" t="inlineStr">
        <is>
          <t>SKIDDER</t>
        </is>
      </c>
      <c r="E424" t="inlineStr">
        <is>
          <t>COIHUECO Y OTROS (BB)</t>
        </is>
      </c>
      <c r="F424" t="inlineStr">
        <is>
          <t>PIRA</t>
        </is>
      </c>
      <c r="G424" t="n">
        <v>720</v>
      </c>
      <c r="H424" t="n">
        <v>0</v>
      </c>
      <c r="I424" t="n">
        <v>10</v>
      </c>
      <c r="J424" t="n">
        <v>50</v>
      </c>
      <c r="K424" t="n">
        <v>0</v>
      </c>
      <c r="L424" t="n">
        <v>23.94</v>
      </c>
      <c r="M424" t="n">
        <v>60</v>
      </c>
      <c r="N424" t="n">
        <v>60</v>
      </c>
      <c r="O424" t="n">
        <v>99.90000000000001</v>
      </c>
      <c r="P424" t="n">
        <v>2.39</v>
      </c>
    </row>
    <row r="425">
      <c r="A425" t="n">
        <v>826969</v>
      </c>
      <c r="B425" t="inlineStr">
        <is>
          <t>10-05-2026</t>
        </is>
      </c>
      <c r="C425" t="inlineStr">
        <is>
          <t>S58</t>
        </is>
      </c>
      <c r="D425" t="inlineStr">
        <is>
          <t>SKIDDER</t>
        </is>
      </c>
      <c r="E425" t="inlineStr">
        <is>
          <t>COIHUECO Y OTROS (BB)</t>
        </is>
      </c>
      <c r="F425" t="inlineStr">
        <is>
          <t>PIRA</t>
        </is>
      </c>
      <c r="G425" t="n">
        <v>720</v>
      </c>
      <c r="H425" t="n">
        <v>0</v>
      </c>
      <c r="I425" t="n">
        <v>10</v>
      </c>
      <c r="J425" t="n">
        <v>50</v>
      </c>
      <c r="K425" t="n">
        <v>0</v>
      </c>
      <c r="L425" t="n">
        <v>17.12</v>
      </c>
      <c r="M425" t="n">
        <v>60</v>
      </c>
      <c r="N425" t="n">
        <v>60</v>
      </c>
      <c r="O425" t="n">
        <v>99.90000000000001</v>
      </c>
      <c r="P425" t="n">
        <v>1.71</v>
      </c>
    </row>
    <row r="426">
      <c r="A426" t="n">
        <v>826969</v>
      </c>
      <c r="B426" t="inlineStr">
        <is>
          <t>10-05-2026</t>
        </is>
      </c>
      <c r="C426" t="inlineStr">
        <is>
          <t>S58</t>
        </is>
      </c>
      <c r="D426" t="inlineStr">
        <is>
          <t>SKIDDER</t>
        </is>
      </c>
      <c r="E426" t="inlineStr">
        <is>
          <t>COIHUECO Y OTROS (BB)</t>
        </is>
      </c>
      <c r="F426" t="inlineStr">
        <is>
          <t>PIRA</t>
        </is>
      </c>
      <c r="G426" t="n">
        <v>720</v>
      </c>
      <c r="H426" t="n">
        <v>0</v>
      </c>
      <c r="I426" t="n">
        <v>10</v>
      </c>
      <c r="J426" t="n">
        <v>50</v>
      </c>
      <c r="K426" t="n">
        <v>0</v>
      </c>
      <c r="L426" t="n">
        <v>66.95</v>
      </c>
      <c r="M426" t="n">
        <v>60</v>
      </c>
      <c r="N426" t="n">
        <v>60</v>
      </c>
      <c r="O426" t="n">
        <v>99.90000000000001</v>
      </c>
      <c r="P426" t="n">
        <v>6.7</v>
      </c>
    </row>
    <row r="427">
      <c r="A427" t="n">
        <v>826969</v>
      </c>
      <c r="B427" t="inlineStr">
        <is>
          <t>10-05-2026</t>
        </is>
      </c>
      <c r="C427" t="inlineStr">
        <is>
          <t>S58</t>
        </is>
      </c>
      <c r="D427" t="inlineStr">
        <is>
          <t>SKIDDER</t>
        </is>
      </c>
      <c r="E427" t="inlineStr">
        <is>
          <t>COIHUECO Y OTROS (BB)</t>
        </is>
      </c>
      <c r="F427" t="inlineStr">
        <is>
          <t>PIRA</t>
        </is>
      </c>
      <c r="G427" t="n">
        <v>720</v>
      </c>
      <c r="H427" t="n">
        <v>0</v>
      </c>
      <c r="I427" t="n">
        <v>10</v>
      </c>
      <c r="J427" t="n">
        <v>50</v>
      </c>
      <c r="K427" t="n">
        <v>0</v>
      </c>
      <c r="L427" t="n">
        <v>73.93000000000001</v>
      </c>
      <c r="M427" t="n">
        <v>60</v>
      </c>
      <c r="N427" t="n">
        <v>60</v>
      </c>
      <c r="O427" t="n">
        <v>99.90000000000001</v>
      </c>
      <c r="P427" t="n">
        <v>7.39</v>
      </c>
    </row>
    <row r="428">
      <c r="A428" t="n">
        <v>826969</v>
      </c>
      <c r="B428" t="inlineStr">
        <is>
          <t>10-05-2026</t>
        </is>
      </c>
      <c r="C428" t="inlineStr">
        <is>
          <t>S58</t>
        </is>
      </c>
      <c r="D428" t="inlineStr">
        <is>
          <t>SKIDDER</t>
        </is>
      </c>
      <c r="E428" t="inlineStr">
        <is>
          <t>COIHUECO Y OTROS (BB)</t>
        </is>
      </c>
      <c r="F428" t="inlineStr">
        <is>
          <t>PIRA</t>
        </is>
      </c>
      <c r="G428" t="n">
        <v>720</v>
      </c>
      <c r="H428" t="n">
        <v>0</v>
      </c>
      <c r="I428" t="n">
        <v>10</v>
      </c>
      <c r="J428" t="n">
        <v>50</v>
      </c>
      <c r="K428" t="n">
        <v>0</v>
      </c>
      <c r="L428" t="n">
        <v>20.04</v>
      </c>
      <c r="M428" t="n">
        <v>60</v>
      </c>
      <c r="N428" t="n">
        <v>60</v>
      </c>
      <c r="O428" t="n">
        <v>99.90000000000001</v>
      </c>
      <c r="P428" t="n">
        <v>2</v>
      </c>
    </row>
    <row r="429">
      <c r="A429" t="n">
        <v>826969</v>
      </c>
      <c r="B429" t="inlineStr">
        <is>
          <t>10-05-2026</t>
        </is>
      </c>
      <c r="C429" t="inlineStr">
        <is>
          <t>S58</t>
        </is>
      </c>
      <c r="D429" t="inlineStr">
        <is>
          <t>SKIDDER</t>
        </is>
      </c>
      <c r="E429" t="inlineStr">
        <is>
          <t>COIHUECO Y OTROS (BB)</t>
        </is>
      </c>
      <c r="F429" t="inlineStr">
        <is>
          <t>PIRA</t>
        </is>
      </c>
      <c r="G429" t="n">
        <v>720</v>
      </c>
      <c r="H429" t="n">
        <v>0</v>
      </c>
      <c r="I429" t="n">
        <v>10</v>
      </c>
      <c r="J429" t="n">
        <v>50</v>
      </c>
      <c r="K429" t="n">
        <v>0</v>
      </c>
      <c r="L429" t="n">
        <v>13.66</v>
      </c>
      <c r="M429" t="n">
        <v>60</v>
      </c>
      <c r="N429" t="n">
        <v>60</v>
      </c>
      <c r="O429" t="n">
        <v>99.90000000000001</v>
      </c>
      <c r="P429" t="n">
        <v>1.37</v>
      </c>
    </row>
    <row r="430">
      <c r="A430" t="n">
        <v>826969</v>
      </c>
      <c r="B430" t="inlineStr">
        <is>
          <t>10-05-2026</t>
        </is>
      </c>
      <c r="C430" t="inlineStr">
        <is>
          <t>S58</t>
        </is>
      </c>
      <c r="D430" t="inlineStr">
        <is>
          <t>SKIDDER</t>
        </is>
      </c>
      <c r="E430" t="inlineStr">
        <is>
          <t>COIHUECO Y OTROS (BB)</t>
        </is>
      </c>
      <c r="F430" t="inlineStr">
        <is>
          <t>PIRA</t>
        </is>
      </c>
      <c r="G430" t="n">
        <v>720</v>
      </c>
      <c r="H430" t="n">
        <v>0</v>
      </c>
      <c r="I430" t="n">
        <v>10</v>
      </c>
      <c r="J430" t="n">
        <v>50</v>
      </c>
      <c r="K430" t="n">
        <v>0</v>
      </c>
      <c r="L430" t="n">
        <v>37.03</v>
      </c>
      <c r="M430" t="n">
        <v>60</v>
      </c>
      <c r="N430" t="n">
        <v>60</v>
      </c>
      <c r="O430" t="n">
        <v>99.90000000000001</v>
      </c>
      <c r="P430" t="n">
        <v>3.7</v>
      </c>
    </row>
    <row r="431">
      <c r="A431" t="n">
        <v>826976</v>
      </c>
      <c r="B431" t="inlineStr">
        <is>
          <t>10-05-2026</t>
        </is>
      </c>
      <c r="C431" t="inlineStr">
        <is>
          <t>MG5</t>
        </is>
      </c>
      <c r="D431" t="inlineStr">
        <is>
          <t>GRAPPLE</t>
        </is>
      </c>
      <c r="E431" t="inlineStr">
        <is>
          <t>CE-27 ESPINALILLO YBAR</t>
        </is>
      </c>
      <c r="F431" t="inlineStr">
        <is>
          <t>PIRA</t>
        </is>
      </c>
      <c r="G431" t="n">
        <v>720</v>
      </c>
      <c r="H431" t="n">
        <v>0</v>
      </c>
      <c r="I431" t="n">
        <v>10.5</v>
      </c>
      <c r="J431" t="n">
        <v>76</v>
      </c>
      <c r="K431" t="n">
        <v>0</v>
      </c>
      <c r="L431" t="n">
        <v>4.6</v>
      </c>
      <c r="M431" t="n">
        <v>0</v>
      </c>
      <c r="N431" t="n">
        <v>30</v>
      </c>
      <c r="O431" t="n">
        <v>100</v>
      </c>
      <c r="P431" t="n">
        <v>0.44</v>
      </c>
    </row>
    <row r="432">
      <c r="A432" t="n">
        <v>826976</v>
      </c>
      <c r="B432" t="inlineStr">
        <is>
          <t>10-05-2026</t>
        </is>
      </c>
      <c r="C432" t="inlineStr">
        <is>
          <t>MG5</t>
        </is>
      </c>
      <c r="D432" t="inlineStr">
        <is>
          <t>GRAPPLE</t>
        </is>
      </c>
      <c r="E432" t="inlineStr">
        <is>
          <t>CE-27 ESPINALILLO YBAR</t>
        </is>
      </c>
      <c r="F432" t="inlineStr">
        <is>
          <t>PIRA</t>
        </is>
      </c>
      <c r="G432" t="n">
        <v>720</v>
      </c>
      <c r="H432" t="n">
        <v>0</v>
      </c>
      <c r="I432" t="n">
        <v>10.5</v>
      </c>
      <c r="J432" t="n">
        <v>76</v>
      </c>
      <c r="K432" t="n">
        <v>0</v>
      </c>
      <c r="L432" t="n">
        <v>110.33</v>
      </c>
      <c r="M432" t="n">
        <v>0</v>
      </c>
      <c r="N432" t="n">
        <v>30</v>
      </c>
      <c r="O432" t="n">
        <v>100</v>
      </c>
      <c r="P432" t="n">
        <v>10.51</v>
      </c>
    </row>
    <row r="433">
      <c r="A433" t="n">
        <v>826976</v>
      </c>
      <c r="B433" t="inlineStr">
        <is>
          <t>10-05-2026</t>
        </is>
      </c>
      <c r="C433" t="inlineStr">
        <is>
          <t>MG5</t>
        </is>
      </c>
      <c r="D433" t="inlineStr">
        <is>
          <t>GRAPPLE</t>
        </is>
      </c>
      <c r="E433" t="inlineStr">
        <is>
          <t>CE-27 ESPINALILLO YBAR</t>
        </is>
      </c>
      <c r="F433" t="inlineStr">
        <is>
          <t>PIRA</t>
        </is>
      </c>
      <c r="G433" t="n">
        <v>720</v>
      </c>
      <c r="H433" t="n">
        <v>0</v>
      </c>
      <c r="I433" t="n">
        <v>10.5</v>
      </c>
      <c r="J433" t="n">
        <v>76</v>
      </c>
      <c r="K433" t="n">
        <v>0</v>
      </c>
      <c r="L433" t="n">
        <v>105.62</v>
      </c>
      <c r="M433" t="n">
        <v>0</v>
      </c>
      <c r="N433" t="n">
        <v>30</v>
      </c>
      <c r="O433" t="n">
        <v>100</v>
      </c>
      <c r="P433" t="n">
        <v>10.06</v>
      </c>
    </row>
    <row r="434">
      <c r="A434" t="n">
        <v>826995</v>
      </c>
      <c r="B434" t="inlineStr">
        <is>
          <t>10-05-2026</t>
        </is>
      </c>
      <c r="C434" t="inlineStr">
        <is>
          <t>TEA02</t>
        </is>
      </c>
      <c r="D434" t="inlineStr">
        <is>
          <t>FORWINCH</t>
        </is>
      </c>
      <c r="E434" t="inlineStr">
        <is>
          <t>COIHUECO Y OTROS (BB)</t>
        </is>
      </c>
      <c r="F434" t="inlineStr">
        <is>
          <t>PIRA</t>
        </is>
      </c>
      <c r="G434" t="n">
        <v>720</v>
      </c>
      <c r="H434" t="n">
        <v>0</v>
      </c>
      <c r="I434" t="n">
        <v>11</v>
      </c>
      <c r="J434" t="n">
        <v>60</v>
      </c>
      <c r="K434" t="n">
        <v>0</v>
      </c>
      <c r="L434" t="n">
        <v>4.01</v>
      </c>
      <c r="M434" t="n">
        <v>0</v>
      </c>
      <c r="N434" t="n">
        <v>0</v>
      </c>
      <c r="O434" t="n">
        <v>100</v>
      </c>
      <c r="P434" t="n">
        <v>0.36</v>
      </c>
    </row>
    <row r="435">
      <c r="A435" t="n">
        <v>826995</v>
      </c>
      <c r="B435" t="inlineStr">
        <is>
          <t>10-05-2026</t>
        </is>
      </c>
      <c r="C435" t="inlineStr">
        <is>
          <t>TEA02</t>
        </is>
      </c>
      <c r="D435" t="inlineStr">
        <is>
          <t>FORWINCH</t>
        </is>
      </c>
      <c r="E435" t="inlineStr">
        <is>
          <t>COIHUECO Y OTROS (BB)</t>
        </is>
      </c>
      <c r="F435" t="inlineStr">
        <is>
          <t>PIRA</t>
        </is>
      </c>
      <c r="G435" t="n">
        <v>720</v>
      </c>
      <c r="H435" t="n">
        <v>0</v>
      </c>
      <c r="I435" t="n">
        <v>11</v>
      </c>
      <c r="J435" t="n">
        <v>60</v>
      </c>
      <c r="K435" t="n">
        <v>0</v>
      </c>
      <c r="L435" t="n">
        <v>10.82</v>
      </c>
      <c r="M435" t="n">
        <v>0</v>
      </c>
      <c r="N435" t="n">
        <v>0</v>
      </c>
      <c r="O435" t="n">
        <v>100</v>
      </c>
      <c r="P435" t="n">
        <v>0.98</v>
      </c>
    </row>
    <row r="436">
      <c r="A436" t="n">
        <v>826995</v>
      </c>
      <c r="B436" t="inlineStr">
        <is>
          <t>10-05-2026</t>
        </is>
      </c>
      <c r="C436" t="inlineStr">
        <is>
          <t>TEA02</t>
        </is>
      </c>
      <c r="D436" t="inlineStr">
        <is>
          <t>FORWINCH</t>
        </is>
      </c>
      <c r="E436" t="inlineStr">
        <is>
          <t>COIHUECO Y OTROS (BB)</t>
        </is>
      </c>
      <c r="F436" t="inlineStr">
        <is>
          <t>PIRA</t>
        </is>
      </c>
      <c r="G436" t="n">
        <v>720</v>
      </c>
      <c r="H436" t="n">
        <v>0</v>
      </c>
      <c r="I436" t="n">
        <v>11</v>
      </c>
      <c r="J436" t="n">
        <v>60</v>
      </c>
      <c r="K436" t="n">
        <v>0</v>
      </c>
      <c r="L436" t="n">
        <v>36.94</v>
      </c>
      <c r="M436" t="n">
        <v>0</v>
      </c>
      <c r="N436" t="n">
        <v>0</v>
      </c>
      <c r="O436" t="n">
        <v>100</v>
      </c>
      <c r="P436" t="n">
        <v>3.36</v>
      </c>
    </row>
    <row r="437">
      <c r="A437" t="n">
        <v>826995</v>
      </c>
      <c r="B437" t="inlineStr">
        <is>
          <t>10-05-2026</t>
        </is>
      </c>
      <c r="C437" t="inlineStr">
        <is>
          <t>TEA02</t>
        </is>
      </c>
      <c r="D437" t="inlineStr">
        <is>
          <t>FORWINCH</t>
        </is>
      </c>
      <c r="E437" t="inlineStr">
        <is>
          <t>COIHUECO Y OTROS (BB)</t>
        </is>
      </c>
      <c r="F437" t="inlineStr">
        <is>
          <t>PIRA</t>
        </is>
      </c>
      <c r="G437" t="n">
        <v>720</v>
      </c>
      <c r="H437" t="n">
        <v>0</v>
      </c>
      <c r="I437" t="n">
        <v>11</v>
      </c>
      <c r="J437" t="n">
        <v>60</v>
      </c>
      <c r="K437" t="n">
        <v>0</v>
      </c>
      <c r="L437" t="n">
        <v>10.1</v>
      </c>
      <c r="M437" t="n">
        <v>0</v>
      </c>
      <c r="N437" t="n">
        <v>0</v>
      </c>
      <c r="O437" t="n">
        <v>100</v>
      </c>
      <c r="P437" t="n">
        <v>0.92</v>
      </c>
    </row>
    <row r="438">
      <c r="A438" t="n">
        <v>826995</v>
      </c>
      <c r="B438" t="inlineStr">
        <is>
          <t>10-05-2026</t>
        </is>
      </c>
      <c r="C438" t="inlineStr">
        <is>
          <t>TEA02</t>
        </is>
      </c>
      <c r="D438" t="inlineStr">
        <is>
          <t>FORWINCH</t>
        </is>
      </c>
      <c r="E438" t="inlineStr">
        <is>
          <t>COIHUECO Y OTROS (BB)</t>
        </is>
      </c>
      <c r="F438" t="inlineStr">
        <is>
          <t>PIRA</t>
        </is>
      </c>
      <c r="G438" t="n">
        <v>720</v>
      </c>
      <c r="H438" t="n">
        <v>0</v>
      </c>
      <c r="I438" t="n">
        <v>11</v>
      </c>
      <c r="J438" t="n">
        <v>60</v>
      </c>
      <c r="K438" t="n">
        <v>0</v>
      </c>
      <c r="L438" t="n">
        <v>15.54</v>
      </c>
      <c r="M438" t="n">
        <v>0</v>
      </c>
      <c r="N438" t="n">
        <v>0</v>
      </c>
      <c r="O438" t="n">
        <v>100</v>
      </c>
      <c r="P438" t="n">
        <v>1.41</v>
      </c>
    </row>
    <row r="439">
      <c r="A439" t="n">
        <v>826995</v>
      </c>
      <c r="B439" t="inlineStr">
        <is>
          <t>10-05-2026</t>
        </is>
      </c>
      <c r="C439" t="inlineStr">
        <is>
          <t>TEA02</t>
        </is>
      </c>
      <c r="D439" t="inlineStr">
        <is>
          <t>FORWINCH</t>
        </is>
      </c>
      <c r="E439" t="inlineStr">
        <is>
          <t>COIHUECO Y OTROS (BB)</t>
        </is>
      </c>
      <c r="F439" t="inlineStr">
        <is>
          <t>PIRA</t>
        </is>
      </c>
      <c r="G439" t="n">
        <v>720</v>
      </c>
      <c r="H439" t="n">
        <v>0</v>
      </c>
      <c r="I439" t="n">
        <v>11</v>
      </c>
      <c r="J439" t="n">
        <v>60</v>
      </c>
      <c r="K439" t="n">
        <v>0</v>
      </c>
      <c r="L439" t="n">
        <v>20.18</v>
      </c>
      <c r="M439" t="n">
        <v>0</v>
      </c>
      <c r="N439" t="n">
        <v>0</v>
      </c>
      <c r="O439" t="n">
        <v>100</v>
      </c>
      <c r="P439" t="n">
        <v>1.83</v>
      </c>
    </row>
    <row r="440">
      <c r="A440" t="n">
        <v>826995</v>
      </c>
      <c r="B440" t="inlineStr">
        <is>
          <t>10-05-2026</t>
        </is>
      </c>
      <c r="C440" t="inlineStr">
        <is>
          <t>TEA02</t>
        </is>
      </c>
      <c r="D440" t="inlineStr">
        <is>
          <t>FORWINCH</t>
        </is>
      </c>
      <c r="E440" t="inlineStr">
        <is>
          <t>COIHUECO Y OTROS (BB)</t>
        </is>
      </c>
      <c r="F440" t="inlineStr">
        <is>
          <t>PIRA</t>
        </is>
      </c>
      <c r="G440" t="n">
        <v>720</v>
      </c>
      <c r="H440" t="n">
        <v>0</v>
      </c>
      <c r="I440" t="n">
        <v>11</v>
      </c>
      <c r="J440" t="n">
        <v>60</v>
      </c>
      <c r="K440" t="n">
        <v>0</v>
      </c>
      <c r="L440" t="n">
        <v>29.04</v>
      </c>
      <c r="M440" t="n">
        <v>0</v>
      </c>
      <c r="N440" t="n">
        <v>0</v>
      </c>
      <c r="O440" t="n">
        <v>100</v>
      </c>
      <c r="P440" t="n">
        <v>2.64</v>
      </c>
    </row>
    <row r="441">
      <c r="A441" t="n">
        <v>827021</v>
      </c>
      <c r="B441" t="inlineStr">
        <is>
          <t>10-05-2026</t>
        </is>
      </c>
      <c r="C441" t="inlineStr">
        <is>
          <t>TEA08</t>
        </is>
      </c>
      <c r="D441" t="inlineStr">
        <is>
          <t>FORWINCH</t>
        </is>
      </c>
      <c r="E441" t="inlineStr">
        <is>
          <t>COIHUECO Y OTROS (BB)</t>
        </is>
      </c>
      <c r="F441" t="inlineStr">
        <is>
          <t>PIRA</t>
        </is>
      </c>
      <c r="G441" t="n">
        <v>720</v>
      </c>
      <c r="H441" t="n">
        <v>0</v>
      </c>
      <c r="I441" t="n">
        <v>6</v>
      </c>
      <c r="J441" t="n">
        <v>21</v>
      </c>
      <c r="K441" t="n">
        <v>0</v>
      </c>
      <c r="L441" t="n">
        <v>21.55</v>
      </c>
      <c r="M441" t="n">
        <v>300</v>
      </c>
      <c r="N441" t="n">
        <v>300</v>
      </c>
      <c r="O441" t="n">
        <v>99.3</v>
      </c>
      <c r="P441" t="n">
        <v>3.59</v>
      </c>
    </row>
    <row r="442">
      <c r="A442" t="n">
        <v>827021</v>
      </c>
      <c r="B442" t="inlineStr">
        <is>
          <t>10-05-2026</t>
        </is>
      </c>
      <c r="C442" t="inlineStr">
        <is>
          <t>TEA08</t>
        </is>
      </c>
      <c r="D442" t="inlineStr">
        <is>
          <t>FORWINCH</t>
        </is>
      </c>
      <c r="E442" t="inlineStr">
        <is>
          <t>COIHUECO Y OTROS (BB)</t>
        </is>
      </c>
      <c r="F442" t="inlineStr">
        <is>
          <t>PIRA</t>
        </is>
      </c>
      <c r="G442" t="n">
        <v>720</v>
      </c>
      <c r="H442" t="n">
        <v>0</v>
      </c>
      <c r="I442" t="n">
        <v>6</v>
      </c>
      <c r="J442" t="n">
        <v>21</v>
      </c>
      <c r="K442" t="n">
        <v>0</v>
      </c>
      <c r="L442" t="n">
        <v>18.04</v>
      </c>
      <c r="M442" t="n">
        <v>300</v>
      </c>
      <c r="N442" t="n">
        <v>300</v>
      </c>
      <c r="O442" t="n">
        <v>99.3</v>
      </c>
      <c r="P442" t="n">
        <v>3.01</v>
      </c>
    </row>
    <row r="443">
      <c r="A443" t="n">
        <v>827021</v>
      </c>
      <c r="B443" t="inlineStr">
        <is>
          <t>10-05-2026</t>
        </is>
      </c>
      <c r="C443" t="inlineStr">
        <is>
          <t>TEA08</t>
        </is>
      </c>
      <c r="D443" t="inlineStr">
        <is>
          <t>FORWINCH</t>
        </is>
      </c>
      <c r="E443" t="inlineStr">
        <is>
          <t>COIHUECO Y OTROS (BB)</t>
        </is>
      </c>
      <c r="F443" t="inlineStr">
        <is>
          <t>PIRA</t>
        </is>
      </c>
      <c r="G443" t="n">
        <v>720</v>
      </c>
      <c r="H443" t="n">
        <v>0</v>
      </c>
      <c r="I443" t="n">
        <v>6</v>
      </c>
      <c r="J443" t="n">
        <v>21</v>
      </c>
      <c r="K443" t="n">
        <v>0</v>
      </c>
      <c r="L443" t="n">
        <v>28.56</v>
      </c>
      <c r="M443" t="n">
        <v>300</v>
      </c>
      <c r="N443" t="n">
        <v>300</v>
      </c>
      <c r="O443" t="n">
        <v>99.3</v>
      </c>
      <c r="P443" t="n">
        <v>4.76</v>
      </c>
    </row>
    <row r="444">
      <c r="A444" t="n">
        <v>827021</v>
      </c>
      <c r="B444" t="inlineStr">
        <is>
          <t>10-05-2026</t>
        </is>
      </c>
      <c r="C444" t="inlineStr">
        <is>
          <t>TEA08</t>
        </is>
      </c>
      <c r="D444" t="inlineStr">
        <is>
          <t>FORWINCH</t>
        </is>
      </c>
      <c r="E444" t="inlineStr">
        <is>
          <t>COIHUECO Y OTROS (BB)</t>
        </is>
      </c>
      <c r="F444" t="inlineStr">
        <is>
          <t>PIRA</t>
        </is>
      </c>
      <c r="G444" t="n">
        <v>720</v>
      </c>
      <c r="H444" t="n">
        <v>0</v>
      </c>
      <c r="I444" t="n">
        <v>6</v>
      </c>
      <c r="J444" t="n">
        <v>21</v>
      </c>
      <c r="K444" t="n">
        <v>0</v>
      </c>
      <c r="L444" t="n">
        <v>10.2</v>
      </c>
      <c r="M444" t="n">
        <v>300</v>
      </c>
      <c r="N444" t="n">
        <v>300</v>
      </c>
      <c r="O444" t="n">
        <v>99.3</v>
      </c>
      <c r="P444" t="n">
        <v>1.7</v>
      </c>
    </row>
    <row r="445">
      <c r="A445" t="n">
        <v>827021</v>
      </c>
      <c r="B445" t="inlineStr">
        <is>
          <t>10-05-2026</t>
        </is>
      </c>
      <c r="C445" t="inlineStr">
        <is>
          <t>TEA08</t>
        </is>
      </c>
      <c r="D445" t="inlineStr">
        <is>
          <t>FORWINCH</t>
        </is>
      </c>
      <c r="E445" t="inlineStr">
        <is>
          <t>COIHUECO Y OTROS (BB)</t>
        </is>
      </c>
      <c r="F445" t="inlineStr">
        <is>
          <t>PIRA</t>
        </is>
      </c>
      <c r="G445" t="n">
        <v>720</v>
      </c>
      <c r="H445" t="n">
        <v>0</v>
      </c>
      <c r="I445" t="n">
        <v>6</v>
      </c>
      <c r="J445" t="n">
        <v>21</v>
      </c>
      <c r="K445" t="n">
        <v>0</v>
      </c>
      <c r="L445" t="n">
        <v>9.41</v>
      </c>
      <c r="M445" t="n">
        <v>300</v>
      </c>
      <c r="N445" t="n">
        <v>300</v>
      </c>
      <c r="O445" t="n">
        <v>99.3</v>
      </c>
      <c r="P445" t="n">
        <v>1.57</v>
      </c>
    </row>
    <row r="446">
      <c r="A446" t="n">
        <v>827091</v>
      </c>
      <c r="B446" t="inlineStr">
        <is>
          <t>11-05-2026</t>
        </is>
      </c>
      <c r="C446" t="inlineStr">
        <is>
          <t>S246</t>
        </is>
      </c>
      <c r="D446" t="inlineStr">
        <is>
          <t>SKIDDER</t>
        </is>
      </c>
      <c r="E446" t="inlineStr">
        <is>
          <t>COIHUECO Y OTROS (BB)</t>
        </is>
      </c>
      <c r="F446" t="inlineStr">
        <is>
          <t>PIRA</t>
        </is>
      </c>
      <c r="G446" t="n">
        <v>720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660</v>
      </c>
      <c r="O446" t="n">
        <v>100</v>
      </c>
      <c r="P446" t="n">
        <v>0</v>
      </c>
    </row>
    <row r="447">
      <c r="A447" t="n">
        <v>827091</v>
      </c>
      <c r="B447" t="inlineStr">
        <is>
          <t>11-05-2026</t>
        </is>
      </c>
      <c r="C447" t="inlineStr">
        <is>
          <t>S246</t>
        </is>
      </c>
      <c r="D447" t="inlineStr">
        <is>
          <t>SKIDDER</t>
        </is>
      </c>
      <c r="E447" t="inlineStr">
        <is>
          <t>COIHUECO Y OTROS (BB)</t>
        </is>
      </c>
      <c r="F447" t="inlineStr">
        <is>
          <t>PIRA</t>
        </is>
      </c>
      <c r="G447" t="n">
        <v>720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660</v>
      </c>
      <c r="O447" t="n">
        <v>100</v>
      </c>
      <c r="P447" t="n">
        <v>0</v>
      </c>
    </row>
    <row r="448">
      <c r="A448" t="n">
        <v>827091</v>
      </c>
      <c r="B448" t="inlineStr">
        <is>
          <t>11-05-2026</t>
        </is>
      </c>
      <c r="C448" t="inlineStr">
        <is>
          <t>S246</t>
        </is>
      </c>
      <c r="D448" t="inlineStr">
        <is>
          <t>SKIDDER</t>
        </is>
      </c>
      <c r="E448" t="inlineStr">
        <is>
          <t>COIHUECO Y OTROS (BB)</t>
        </is>
      </c>
      <c r="F448" t="inlineStr">
        <is>
          <t>PIRA</t>
        </is>
      </c>
      <c r="G448" t="n">
        <v>720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660</v>
      </c>
      <c r="O448" t="n">
        <v>100</v>
      </c>
      <c r="P448" t="n">
        <v>0</v>
      </c>
    </row>
    <row r="449">
      <c r="A449" t="n">
        <v>827091</v>
      </c>
      <c r="B449" t="inlineStr">
        <is>
          <t>11-05-2026</t>
        </is>
      </c>
      <c r="C449" t="inlineStr">
        <is>
          <t>S246</t>
        </is>
      </c>
      <c r="D449" t="inlineStr">
        <is>
          <t>SKIDDER</t>
        </is>
      </c>
      <c r="E449" t="inlineStr">
        <is>
          <t>COIHUECO Y OTROS (BB)</t>
        </is>
      </c>
      <c r="F449" t="inlineStr">
        <is>
          <t>PIRA</t>
        </is>
      </c>
      <c r="G449" t="n">
        <v>720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660</v>
      </c>
      <c r="O449" t="n">
        <v>100</v>
      </c>
      <c r="P449" t="n">
        <v>0</v>
      </c>
    </row>
    <row r="450">
      <c r="A450" t="n">
        <v>827091</v>
      </c>
      <c r="B450" t="inlineStr">
        <is>
          <t>11-05-2026</t>
        </is>
      </c>
      <c r="C450" t="inlineStr">
        <is>
          <t>S246</t>
        </is>
      </c>
      <c r="D450" t="inlineStr">
        <is>
          <t>SKIDDER</t>
        </is>
      </c>
      <c r="E450" t="inlineStr">
        <is>
          <t>COIHUECO Y OTROS (BB)</t>
        </is>
      </c>
      <c r="F450" t="inlineStr">
        <is>
          <t>PIRA</t>
        </is>
      </c>
      <c r="G450" t="n">
        <v>720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660</v>
      </c>
      <c r="O450" t="n">
        <v>100</v>
      </c>
      <c r="P450" t="n">
        <v>0</v>
      </c>
    </row>
    <row r="451">
      <c r="A451" t="n">
        <v>827091</v>
      </c>
      <c r="B451" t="inlineStr">
        <is>
          <t>11-05-2026</t>
        </is>
      </c>
      <c r="C451" t="inlineStr">
        <is>
          <t>S246</t>
        </is>
      </c>
      <c r="D451" t="inlineStr">
        <is>
          <t>SKIDDER</t>
        </is>
      </c>
      <c r="E451" t="inlineStr">
        <is>
          <t>COIHUECO Y OTROS (BB)</t>
        </is>
      </c>
      <c r="F451" t="inlineStr">
        <is>
          <t>PIRA</t>
        </is>
      </c>
      <c r="G451" t="n">
        <v>720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660</v>
      </c>
      <c r="O451" t="n">
        <v>100</v>
      </c>
      <c r="P451" t="n">
        <v>0</v>
      </c>
    </row>
    <row r="452">
      <c r="A452" t="n">
        <v>827091</v>
      </c>
      <c r="B452" t="inlineStr">
        <is>
          <t>11-05-2026</t>
        </is>
      </c>
      <c r="C452" t="inlineStr">
        <is>
          <t>S246</t>
        </is>
      </c>
      <c r="D452" t="inlineStr">
        <is>
          <t>SKIDDER</t>
        </is>
      </c>
      <c r="E452" t="inlineStr">
        <is>
          <t>COIHUECO Y OTROS (BB)</t>
        </is>
      </c>
      <c r="F452" t="inlineStr">
        <is>
          <t>PIRA</t>
        </is>
      </c>
      <c r="G452" t="n">
        <v>720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660</v>
      </c>
      <c r="O452" t="n">
        <v>100</v>
      </c>
      <c r="P452" t="n">
        <v>0</v>
      </c>
    </row>
    <row r="453">
      <c r="A453" t="n">
        <v>827091</v>
      </c>
      <c r="B453" t="inlineStr">
        <is>
          <t>11-05-2026</t>
        </is>
      </c>
      <c r="C453" t="inlineStr">
        <is>
          <t>S246</t>
        </is>
      </c>
      <c r="D453" t="inlineStr">
        <is>
          <t>SKIDDER</t>
        </is>
      </c>
      <c r="E453" t="inlineStr">
        <is>
          <t>COIHUECO Y OTROS (BB)</t>
        </is>
      </c>
      <c r="F453" t="inlineStr">
        <is>
          <t>PIRA</t>
        </is>
      </c>
      <c r="G453" t="n">
        <v>720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660</v>
      </c>
      <c r="O453" t="n">
        <v>100</v>
      </c>
      <c r="P453" t="n">
        <v>0</v>
      </c>
    </row>
    <row r="454">
      <c r="A454" t="n">
        <v>827091</v>
      </c>
      <c r="B454" t="inlineStr">
        <is>
          <t>11-05-2026</t>
        </is>
      </c>
      <c r="C454" t="inlineStr">
        <is>
          <t>S246</t>
        </is>
      </c>
      <c r="D454" t="inlineStr">
        <is>
          <t>SKIDDER</t>
        </is>
      </c>
      <c r="E454" t="inlineStr">
        <is>
          <t>COIHUECO Y OTROS (BB)</t>
        </is>
      </c>
      <c r="F454" t="inlineStr">
        <is>
          <t>PIRA</t>
        </is>
      </c>
      <c r="G454" t="n">
        <v>720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660</v>
      </c>
      <c r="O454" t="n">
        <v>100</v>
      </c>
      <c r="P454" t="n">
        <v>0</v>
      </c>
    </row>
    <row r="455">
      <c r="A455" t="n">
        <v>827091</v>
      </c>
      <c r="B455" t="inlineStr">
        <is>
          <t>11-05-2026</t>
        </is>
      </c>
      <c r="C455" t="inlineStr">
        <is>
          <t>S246</t>
        </is>
      </c>
      <c r="D455" t="inlineStr">
        <is>
          <t>SKIDDER</t>
        </is>
      </c>
      <c r="E455" t="inlineStr">
        <is>
          <t>COIHUECO Y OTROS (BB)</t>
        </is>
      </c>
      <c r="F455" t="inlineStr">
        <is>
          <t>PIRA</t>
        </is>
      </c>
      <c r="G455" t="n">
        <v>720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660</v>
      </c>
      <c r="O455" t="n">
        <v>100</v>
      </c>
      <c r="P455" t="n">
        <v>0</v>
      </c>
    </row>
    <row r="456">
      <c r="A456" t="n">
        <v>827099</v>
      </c>
      <c r="B456" t="inlineStr">
        <is>
          <t>11-05-2026</t>
        </is>
      </c>
      <c r="C456" t="inlineStr">
        <is>
          <t>TEA02</t>
        </is>
      </c>
      <c r="D456" t="inlineStr">
        <is>
          <t>FORWINCH</t>
        </is>
      </c>
      <c r="E456" t="inlineStr">
        <is>
          <t>COIHUECO Y OTROS (BB)</t>
        </is>
      </c>
      <c r="F456" t="inlineStr">
        <is>
          <t>PIRA</t>
        </is>
      </c>
      <c r="G456" t="n">
        <v>720</v>
      </c>
      <c r="H456" t="n">
        <v>0</v>
      </c>
      <c r="I456" t="n">
        <v>4</v>
      </c>
      <c r="J456" t="n">
        <v>22</v>
      </c>
      <c r="K456" t="n">
        <v>0</v>
      </c>
      <c r="L456" t="n">
        <v>5.19</v>
      </c>
      <c r="M456" t="n">
        <v>0</v>
      </c>
      <c r="N456" t="n">
        <v>420</v>
      </c>
      <c r="O456" t="n">
        <v>100</v>
      </c>
      <c r="P456" t="n">
        <v>1.3</v>
      </c>
    </row>
    <row r="457">
      <c r="A457" t="n">
        <v>827099</v>
      </c>
      <c r="B457" t="inlineStr">
        <is>
          <t>11-05-2026</t>
        </is>
      </c>
      <c r="C457" t="inlineStr">
        <is>
          <t>TEA02</t>
        </is>
      </c>
      <c r="D457" t="inlineStr">
        <is>
          <t>FORWINCH</t>
        </is>
      </c>
      <c r="E457" t="inlineStr">
        <is>
          <t>COIHUECO Y OTROS (BB)</t>
        </is>
      </c>
      <c r="F457" t="inlineStr">
        <is>
          <t>PIRA</t>
        </is>
      </c>
      <c r="G457" t="n">
        <v>720</v>
      </c>
      <c r="H457" t="n">
        <v>0</v>
      </c>
      <c r="I457" t="n">
        <v>4</v>
      </c>
      <c r="J457" t="n">
        <v>22</v>
      </c>
      <c r="K457" t="n">
        <v>0</v>
      </c>
      <c r="L457" t="n">
        <v>4.94</v>
      </c>
      <c r="M457" t="n">
        <v>0</v>
      </c>
      <c r="N457" t="n">
        <v>420</v>
      </c>
      <c r="O457" t="n">
        <v>100</v>
      </c>
      <c r="P457" t="n">
        <v>1.24</v>
      </c>
    </row>
    <row r="458">
      <c r="A458" t="n">
        <v>827099</v>
      </c>
      <c r="B458" t="inlineStr">
        <is>
          <t>11-05-2026</t>
        </is>
      </c>
      <c r="C458" t="inlineStr">
        <is>
          <t>TEA02</t>
        </is>
      </c>
      <c r="D458" t="inlineStr">
        <is>
          <t>FORWINCH</t>
        </is>
      </c>
      <c r="E458" t="inlineStr">
        <is>
          <t>COIHUECO Y OTROS (BB)</t>
        </is>
      </c>
      <c r="F458" t="inlineStr">
        <is>
          <t>PIRA</t>
        </is>
      </c>
      <c r="G458" t="n">
        <v>720</v>
      </c>
      <c r="H458" t="n">
        <v>0</v>
      </c>
      <c r="I458" t="n">
        <v>4</v>
      </c>
      <c r="J458" t="n">
        <v>22</v>
      </c>
      <c r="K458" t="n">
        <v>0</v>
      </c>
      <c r="L458" t="n">
        <v>23.65</v>
      </c>
      <c r="M458" t="n">
        <v>0</v>
      </c>
      <c r="N458" t="n">
        <v>420</v>
      </c>
      <c r="O458" t="n">
        <v>100</v>
      </c>
      <c r="P458" t="n">
        <v>5.91</v>
      </c>
    </row>
    <row r="459">
      <c r="A459" t="n">
        <v>827099</v>
      </c>
      <c r="B459" t="inlineStr">
        <is>
          <t>11-05-2026</t>
        </is>
      </c>
      <c r="C459" t="inlineStr">
        <is>
          <t>TEA02</t>
        </is>
      </c>
      <c r="D459" t="inlineStr">
        <is>
          <t>FORWINCH</t>
        </is>
      </c>
      <c r="E459" t="inlineStr">
        <is>
          <t>COIHUECO Y OTROS (BB)</t>
        </is>
      </c>
      <c r="F459" t="inlineStr">
        <is>
          <t>PIRA</t>
        </is>
      </c>
      <c r="G459" t="n">
        <v>720</v>
      </c>
      <c r="H459" t="n">
        <v>0</v>
      </c>
      <c r="I459" t="n">
        <v>4</v>
      </c>
      <c r="J459" t="n">
        <v>22</v>
      </c>
      <c r="K459" t="n">
        <v>0</v>
      </c>
      <c r="L459" t="n">
        <v>4.08</v>
      </c>
      <c r="M459" t="n">
        <v>0</v>
      </c>
      <c r="N459" t="n">
        <v>420</v>
      </c>
      <c r="O459" t="n">
        <v>100</v>
      </c>
      <c r="P459" t="n">
        <v>1.02</v>
      </c>
    </row>
    <row r="460">
      <c r="A460" t="n">
        <v>827099</v>
      </c>
      <c r="B460" t="inlineStr">
        <is>
          <t>11-05-2026</t>
        </is>
      </c>
      <c r="C460" t="inlineStr">
        <is>
          <t>TEA02</t>
        </is>
      </c>
      <c r="D460" t="inlineStr">
        <is>
          <t>FORWINCH</t>
        </is>
      </c>
      <c r="E460" t="inlineStr">
        <is>
          <t>COIHUECO Y OTROS (BB)</t>
        </is>
      </c>
      <c r="F460" t="inlineStr">
        <is>
          <t>PIRA</t>
        </is>
      </c>
      <c r="G460" t="n">
        <v>720</v>
      </c>
      <c r="H460" t="n">
        <v>0</v>
      </c>
      <c r="I460" t="n">
        <v>4</v>
      </c>
      <c r="J460" t="n">
        <v>22</v>
      </c>
      <c r="K460" t="n">
        <v>0</v>
      </c>
      <c r="L460" t="n">
        <v>6.16</v>
      </c>
      <c r="M460" t="n">
        <v>0</v>
      </c>
      <c r="N460" t="n">
        <v>420</v>
      </c>
      <c r="O460" t="n">
        <v>100</v>
      </c>
      <c r="P460" t="n">
        <v>1.54</v>
      </c>
    </row>
    <row r="461">
      <c r="A461" t="n">
        <v>827099</v>
      </c>
      <c r="B461" t="inlineStr">
        <is>
          <t>11-05-2026</t>
        </is>
      </c>
      <c r="C461" t="inlineStr">
        <is>
          <t>TEA02</t>
        </is>
      </c>
      <c r="D461" t="inlineStr">
        <is>
          <t>FORWINCH</t>
        </is>
      </c>
      <c r="E461" t="inlineStr">
        <is>
          <t>COIHUECO Y OTROS (BB)</t>
        </is>
      </c>
      <c r="F461" t="inlineStr">
        <is>
          <t>PIRA</t>
        </is>
      </c>
      <c r="G461" t="n">
        <v>720</v>
      </c>
      <c r="H461" t="n">
        <v>0</v>
      </c>
      <c r="I461" t="n">
        <v>4</v>
      </c>
      <c r="J461" t="n">
        <v>22</v>
      </c>
      <c r="K461" t="n">
        <v>0</v>
      </c>
      <c r="L461" t="n">
        <v>4.27</v>
      </c>
      <c r="M461" t="n">
        <v>0</v>
      </c>
      <c r="N461" t="n">
        <v>420</v>
      </c>
      <c r="O461" t="n">
        <v>100</v>
      </c>
      <c r="P461" t="n">
        <v>1.07</v>
      </c>
    </row>
    <row r="462">
      <c r="A462" t="n">
        <v>827099</v>
      </c>
      <c r="B462" t="inlineStr">
        <is>
          <t>11-05-2026</t>
        </is>
      </c>
      <c r="C462" t="inlineStr">
        <is>
          <t>TEA02</t>
        </is>
      </c>
      <c r="D462" t="inlineStr">
        <is>
          <t>FORWINCH</t>
        </is>
      </c>
      <c r="E462" t="inlineStr">
        <is>
          <t>COIHUECO Y OTROS (BB)</t>
        </is>
      </c>
      <c r="F462" t="inlineStr">
        <is>
          <t>PIRA</t>
        </is>
      </c>
      <c r="G462" t="n">
        <v>720</v>
      </c>
      <c r="H462" t="n">
        <v>0</v>
      </c>
      <c r="I462" t="n">
        <v>4</v>
      </c>
      <c r="J462" t="n">
        <v>22</v>
      </c>
      <c r="K462" t="n">
        <v>0</v>
      </c>
      <c r="L462" t="n">
        <v>6.17</v>
      </c>
      <c r="M462" t="n">
        <v>0</v>
      </c>
      <c r="N462" t="n">
        <v>420</v>
      </c>
      <c r="O462" t="n">
        <v>100</v>
      </c>
      <c r="P462" t="n">
        <v>1.54</v>
      </c>
    </row>
    <row r="463">
      <c r="A463" t="n">
        <v>827100</v>
      </c>
      <c r="B463" t="inlineStr">
        <is>
          <t>11-05-2026</t>
        </is>
      </c>
      <c r="C463" t="inlineStr">
        <is>
          <t>S123</t>
        </is>
      </c>
      <c r="D463" t="inlineStr">
        <is>
          <t>SKIDDER</t>
        </is>
      </c>
      <c r="E463" t="inlineStr">
        <is>
          <t>EL CABRITO CBB</t>
        </is>
      </c>
      <c r="F463" t="inlineStr">
        <is>
          <t>PIRA</t>
        </is>
      </c>
      <c r="G463" t="n">
        <v>720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660</v>
      </c>
      <c r="O463" t="n">
        <v>100</v>
      </c>
      <c r="P463" t="n">
        <v>0</v>
      </c>
    </row>
    <row r="464">
      <c r="A464" t="n">
        <v>827100</v>
      </c>
      <c r="B464" t="inlineStr">
        <is>
          <t>11-05-2026</t>
        </is>
      </c>
      <c r="C464" t="inlineStr">
        <is>
          <t>S123</t>
        </is>
      </c>
      <c r="D464" t="inlineStr">
        <is>
          <t>SKIDDER</t>
        </is>
      </c>
      <c r="E464" t="inlineStr">
        <is>
          <t>EL CABRITO CBB</t>
        </is>
      </c>
      <c r="F464" t="inlineStr">
        <is>
          <t>PIRA</t>
        </is>
      </c>
      <c r="G464" t="n">
        <v>720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660</v>
      </c>
      <c r="O464" t="n">
        <v>100</v>
      </c>
      <c r="P464" t="n">
        <v>0</v>
      </c>
    </row>
    <row r="465">
      <c r="A465" t="n">
        <v>827100</v>
      </c>
      <c r="B465" t="inlineStr">
        <is>
          <t>11-05-2026</t>
        </is>
      </c>
      <c r="C465" t="inlineStr">
        <is>
          <t>S123</t>
        </is>
      </c>
      <c r="D465" t="inlineStr">
        <is>
          <t>SKIDDER</t>
        </is>
      </c>
      <c r="E465" t="inlineStr">
        <is>
          <t>EL CABRITO CBB</t>
        </is>
      </c>
      <c r="F465" t="inlineStr">
        <is>
          <t>PIRA</t>
        </is>
      </c>
      <c r="G465" t="n">
        <v>720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660</v>
      </c>
      <c r="O465" t="n">
        <v>100</v>
      </c>
      <c r="P465" t="n">
        <v>0</v>
      </c>
    </row>
    <row r="466">
      <c r="A466" t="n">
        <v>827100</v>
      </c>
      <c r="B466" t="inlineStr">
        <is>
          <t>11-05-2026</t>
        </is>
      </c>
      <c r="C466" t="inlineStr">
        <is>
          <t>S123</t>
        </is>
      </c>
      <c r="D466" t="inlineStr">
        <is>
          <t>SKIDDER</t>
        </is>
      </c>
      <c r="E466" t="inlineStr">
        <is>
          <t>EL CABRITO CBB</t>
        </is>
      </c>
      <c r="F466" t="inlineStr">
        <is>
          <t>PIRA</t>
        </is>
      </c>
      <c r="G466" t="n">
        <v>720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660</v>
      </c>
      <c r="O466" t="n">
        <v>100</v>
      </c>
      <c r="P466" t="n">
        <v>0</v>
      </c>
    </row>
    <row r="467">
      <c r="A467" t="n">
        <v>827100</v>
      </c>
      <c r="B467" t="inlineStr">
        <is>
          <t>11-05-2026</t>
        </is>
      </c>
      <c r="C467" t="inlineStr">
        <is>
          <t>S123</t>
        </is>
      </c>
      <c r="D467" t="inlineStr">
        <is>
          <t>SKIDDER</t>
        </is>
      </c>
      <c r="E467" t="inlineStr">
        <is>
          <t>EL CABRITO CBB</t>
        </is>
      </c>
      <c r="F467" t="inlineStr">
        <is>
          <t>PIRA</t>
        </is>
      </c>
      <c r="G467" t="n">
        <v>720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660</v>
      </c>
      <c r="O467" t="n">
        <v>100</v>
      </c>
      <c r="P467" t="n">
        <v>0</v>
      </c>
    </row>
    <row r="468">
      <c r="A468" t="n">
        <v>827100</v>
      </c>
      <c r="B468" t="inlineStr">
        <is>
          <t>11-05-2026</t>
        </is>
      </c>
      <c r="C468" t="inlineStr">
        <is>
          <t>S123</t>
        </is>
      </c>
      <c r="D468" t="inlineStr">
        <is>
          <t>SKIDDER</t>
        </is>
      </c>
      <c r="E468" t="inlineStr">
        <is>
          <t>EL CABRITO CBB</t>
        </is>
      </c>
      <c r="F468" t="inlineStr">
        <is>
          <t>PIRA</t>
        </is>
      </c>
      <c r="G468" t="n">
        <v>720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660</v>
      </c>
      <c r="O468" t="n">
        <v>100</v>
      </c>
      <c r="P468" t="n">
        <v>0</v>
      </c>
    </row>
    <row r="469">
      <c r="A469" t="n">
        <v>827100</v>
      </c>
      <c r="B469" t="inlineStr">
        <is>
          <t>11-05-2026</t>
        </is>
      </c>
      <c r="C469" t="inlineStr">
        <is>
          <t>S123</t>
        </is>
      </c>
      <c r="D469" t="inlineStr">
        <is>
          <t>SKIDDER</t>
        </is>
      </c>
      <c r="E469" t="inlineStr">
        <is>
          <t>EL CABRITO CBB</t>
        </is>
      </c>
      <c r="F469" t="inlineStr">
        <is>
          <t>PIRA</t>
        </is>
      </c>
      <c r="G469" t="n">
        <v>720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660</v>
      </c>
      <c r="O469" t="n">
        <v>100</v>
      </c>
      <c r="P469" t="n">
        <v>0</v>
      </c>
    </row>
    <row r="470">
      <c r="A470" t="n">
        <v>827100</v>
      </c>
      <c r="B470" t="inlineStr">
        <is>
          <t>11-05-2026</t>
        </is>
      </c>
      <c r="C470" t="inlineStr">
        <is>
          <t>S123</t>
        </is>
      </c>
      <c r="D470" t="inlineStr">
        <is>
          <t>SKIDDER</t>
        </is>
      </c>
      <c r="E470" t="inlineStr">
        <is>
          <t>EL CABRITO CBB</t>
        </is>
      </c>
      <c r="F470" t="inlineStr">
        <is>
          <t>PIRA</t>
        </is>
      </c>
      <c r="G470" t="n">
        <v>720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660</v>
      </c>
      <c r="O470" t="n">
        <v>100</v>
      </c>
      <c r="P470" t="n">
        <v>0</v>
      </c>
    </row>
    <row r="471">
      <c r="A471" t="n">
        <v>827100</v>
      </c>
      <c r="B471" t="inlineStr">
        <is>
          <t>11-05-2026</t>
        </is>
      </c>
      <c r="C471" t="inlineStr">
        <is>
          <t>S123</t>
        </is>
      </c>
      <c r="D471" t="inlineStr">
        <is>
          <t>SKIDDER</t>
        </is>
      </c>
      <c r="E471" t="inlineStr">
        <is>
          <t>EL CABRITO CBB</t>
        </is>
      </c>
      <c r="F471" t="inlineStr">
        <is>
          <t>PIRA</t>
        </is>
      </c>
      <c r="G471" t="n">
        <v>720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660</v>
      </c>
      <c r="O471" t="n">
        <v>100</v>
      </c>
      <c r="P471" t="n">
        <v>0</v>
      </c>
    </row>
    <row r="472">
      <c r="A472" t="n">
        <v>827103</v>
      </c>
      <c r="B472" t="inlineStr">
        <is>
          <t>11-05-2026</t>
        </is>
      </c>
      <c r="C472" t="inlineStr">
        <is>
          <t>T125</t>
        </is>
      </c>
      <c r="D472" t="inlineStr">
        <is>
          <t>TORRE500</t>
        </is>
      </c>
      <c r="E472" t="inlineStr">
        <is>
          <t>POLHUIN</t>
        </is>
      </c>
      <c r="F472" t="inlineStr">
        <is>
          <t>EUGL</t>
        </is>
      </c>
      <c r="G472" t="n">
        <v>720</v>
      </c>
      <c r="H472" t="n">
        <v>0</v>
      </c>
      <c r="I472" t="n">
        <v>3</v>
      </c>
      <c r="J472" t="n">
        <v>37</v>
      </c>
      <c r="K472" t="n">
        <v>0</v>
      </c>
      <c r="L472" t="n">
        <v>0</v>
      </c>
      <c r="M472" t="n">
        <v>0</v>
      </c>
      <c r="N472" t="n">
        <v>480</v>
      </c>
      <c r="O472" t="n">
        <v>100</v>
      </c>
      <c r="P472" t="n">
        <v>0</v>
      </c>
    </row>
    <row r="473">
      <c r="A473" t="n">
        <v>827103</v>
      </c>
      <c r="B473" t="inlineStr">
        <is>
          <t>11-05-2026</t>
        </is>
      </c>
      <c r="C473" t="inlineStr">
        <is>
          <t>T125</t>
        </is>
      </c>
      <c r="D473" t="inlineStr">
        <is>
          <t>TORRE500</t>
        </is>
      </c>
      <c r="E473" t="inlineStr">
        <is>
          <t>POLHUIN</t>
        </is>
      </c>
      <c r="F473" t="inlineStr">
        <is>
          <t>EUGL</t>
        </is>
      </c>
      <c r="G473" t="n">
        <v>720</v>
      </c>
      <c r="H473" t="n">
        <v>0</v>
      </c>
      <c r="I473" t="n">
        <v>3</v>
      </c>
      <c r="J473" t="n">
        <v>37</v>
      </c>
      <c r="K473" t="n">
        <v>0</v>
      </c>
      <c r="L473" t="n">
        <v>32.91</v>
      </c>
      <c r="M473" t="n">
        <v>0</v>
      </c>
      <c r="N473" t="n">
        <v>480</v>
      </c>
      <c r="O473" t="n">
        <v>100</v>
      </c>
      <c r="P473" t="n">
        <v>10.97</v>
      </c>
    </row>
    <row r="474">
      <c r="A474" t="n">
        <v>827106</v>
      </c>
      <c r="B474" t="inlineStr">
        <is>
          <t>11-05-2026</t>
        </is>
      </c>
      <c r="C474" t="inlineStr">
        <is>
          <t>S58</t>
        </is>
      </c>
      <c r="D474" t="inlineStr">
        <is>
          <t>SKIDDER</t>
        </is>
      </c>
      <c r="E474" t="inlineStr">
        <is>
          <t>COIHUECO Y OTROS (BB)</t>
        </is>
      </c>
      <c r="F474" t="inlineStr">
        <is>
          <t>EUGL</t>
        </is>
      </c>
      <c r="G474" t="n">
        <v>720</v>
      </c>
      <c r="H474" t="n">
        <v>0</v>
      </c>
      <c r="I474" t="n">
        <v>8</v>
      </c>
      <c r="J474" t="n">
        <v>25</v>
      </c>
      <c r="K474" t="n">
        <v>0</v>
      </c>
      <c r="L474" t="n">
        <v>49</v>
      </c>
      <c r="M474" t="n">
        <v>0</v>
      </c>
      <c r="N474" t="n">
        <v>180</v>
      </c>
      <c r="O474" t="n">
        <v>100</v>
      </c>
      <c r="P474" t="n">
        <v>6.12</v>
      </c>
    </row>
    <row r="475">
      <c r="A475" t="n">
        <v>827106</v>
      </c>
      <c r="B475" t="inlineStr">
        <is>
          <t>11-05-2026</t>
        </is>
      </c>
      <c r="C475" t="inlineStr">
        <is>
          <t>S58</t>
        </is>
      </c>
      <c r="D475" t="inlineStr">
        <is>
          <t>SKIDDER</t>
        </is>
      </c>
      <c r="E475" t="inlineStr">
        <is>
          <t>COIHUECO Y OTROS (BB)</t>
        </is>
      </c>
      <c r="F475" t="inlineStr">
        <is>
          <t>PIRA</t>
        </is>
      </c>
      <c r="G475" t="n">
        <v>720</v>
      </c>
      <c r="H475" t="n">
        <v>0</v>
      </c>
      <c r="I475" t="n">
        <v>8</v>
      </c>
      <c r="J475" t="n">
        <v>25</v>
      </c>
      <c r="K475" t="n">
        <v>0</v>
      </c>
      <c r="L475" t="n">
        <v>7.98</v>
      </c>
      <c r="M475" t="n">
        <v>0</v>
      </c>
      <c r="N475" t="n">
        <v>180</v>
      </c>
      <c r="O475" t="n">
        <v>100</v>
      </c>
      <c r="P475" t="n">
        <v>1</v>
      </c>
    </row>
    <row r="476">
      <c r="A476" t="n">
        <v>827106</v>
      </c>
      <c r="B476" t="inlineStr">
        <is>
          <t>11-05-2026</t>
        </is>
      </c>
      <c r="C476" t="inlineStr">
        <is>
          <t>S58</t>
        </is>
      </c>
      <c r="D476" t="inlineStr">
        <is>
          <t>SKIDDER</t>
        </is>
      </c>
      <c r="E476" t="inlineStr">
        <is>
          <t>COIHUECO Y OTROS (BB)</t>
        </is>
      </c>
      <c r="F476" t="inlineStr">
        <is>
          <t>PIRA</t>
        </is>
      </c>
      <c r="G476" t="n">
        <v>720</v>
      </c>
      <c r="H476" t="n">
        <v>0</v>
      </c>
      <c r="I476" t="n">
        <v>8</v>
      </c>
      <c r="J476" t="n">
        <v>25</v>
      </c>
      <c r="K476" t="n">
        <v>0</v>
      </c>
      <c r="L476" t="n">
        <v>12.29</v>
      </c>
      <c r="M476" t="n">
        <v>0</v>
      </c>
      <c r="N476" t="n">
        <v>180</v>
      </c>
      <c r="O476" t="n">
        <v>100</v>
      </c>
      <c r="P476" t="n">
        <v>1.54</v>
      </c>
    </row>
    <row r="477">
      <c r="A477" t="n">
        <v>827106</v>
      </c>
      <c r="B477" t="inlineStr">
        <is>
          <t>11-05-2026</t>
        </is>
      </c>
      <c r="C477" t="inlineStr">
        <is>
          <t>S58</t>
        </is>
      </c>
      <c r="D477" t="inlineStr">
        <is>
          <t>SKIDDER</t>
        </is>
      </c>
      <c r="E477" t="inlineStr">
        <is>
          <t>COIHUECO Y OTROS (BB)</t>
        </is>
      </c>
      <c r="F477" t="inlineStr">
        <is>
          <t>PIRA</t>
        </is>
      </c>
      <c r="G477" t="n">
        <v>720</v>
      </c>
      <c r="H477" t="n">
        <v>0</v>
      </c>
      <c r="I477" t="n">
        <v>8</v>
      </c>
      <c r="J477" t="n">
        <v>25</v>
      </c>
      <c r="K477" t="n">
        <v>0</v>
      </c>
      <c r="L477" t="n">
        <v>10.59</v>
      </c>
      <c r="M477" t="n">
        <v>0</v>
      </c>
      <c r="N477" t="n">
        <v>180</v>
      </c>
      <c r="O477" t="n">
        <v>100</v>
      </c>
      <c r="P477" t="n">
        <v>1.32</v>
      </c>
    </row>
    <row r="478">
      <c r="A478" t="n">
        <v>827106</v>
      </c>
      <c r="B478" t="inlineStr">
        <is>
          <t>11-05-2026</t>
        </is>
      </c>
      <c r="C478" t="inlineStr">
        <is>
          <t>S58</t>
        </is>
      </c>
      <c r="D478" t="inlineStr">
        <is>
          <t>SKIDDER</t>
        </is>
      </c>
      <c r="E478" t="inlineStr">
        <is>
          <t>COIHUECO Y OTROS (BB)</t>
        </is>
      </c>
      <c r="F478" t="inlineStr">
        <is>
          <t>PIRA</t>
        </is>
      </c>
      <c r="G478" t="n">
        <v>720</v>
      </c>
      <c r="H478" t="n">
        <v>0</v>
      </c>
      <c r="I478" t="n">
        <v>8</v>
      </c>
      <c r="J478" t="n">
        <v>25</v>
      </c>
      <c r="K478" t="n">
        <v>0</v>
      </c>
      <c r="L478" t="n">
        <v>10.94</v>
      </c>
      <c r="M478" t="n">
        <v>0</v>
      </c>
      <c r="N478" t="n">
        <v>180</v>
      </c>
      <c r="O478" t="n">
        <v>100</v>
      </c>
      <c r="P478" t="n">
        <v>1.37</v>
      </c>
    </row>
    <row r="479">
      <c r="A479" t="n">
        <v>827106</v>
      </c>
      <c r="B479" t="inlineStr">
        <is>
          <t>11-05-2026</t>
        </is>
      </c>
      <c r="C479" t="inlineStr">
        <is>
          <t>S58</t>
        </is>
      </c>
      <c r="D479" t="inlineStr">
        <is>
          <t>SKIDDER</t>
        </is>
      </c>
      <c r="E479" t="inlineStr">
        <is>
          <t>COIHUECO Y OTROS (BB)</t>
        </is>
      </c>
      <c r="F479" t="inlineStr">
        <is>
          <t>PIRA</t>
        </is>
      </c>
      <c r="G479" t="n">
        <v>720</v>
      </c>
      <c r="H479" t="n">
        <v>0</v>
      </c>
      <c r="I479" t="n">
        <v>8</v>
      </c>
      <c r="J479" t="n">
        <v>25</v>
      </c>
      <c r="K479" t="n">
        <v>0</v>
      </c>
      <c r="L479" t="n">
        <v>7.97</v>
      </c>
      <c r="M479" t="n">
        <v>0</v>
      </c>
      <c r="N479" t="n">
        <v>180</v>
      </c>
      <c r="O479" t="n">
        <v>100</v>
      </c>
      <c r="P479" t="n">
        <v>1</v>
      </c>
    </row>
    <row r="480">
      <c r="A480" t="n">
        <v>827106</v>
      </c>
      <c r="B480" t="inlineStr">
        <is>
          <t>11-05-2026</t>
        </is>
      </c>
      <c r="C480" t="inlineStr">
        <is>
          <t>S58</t>
        </is>
      </c>
      <c r="D480" t="inlineStr">
        <is>
          <t>SKIDDER</t>
        </is>
      </c>
      <c r="E480" t="inlineStr">
        <is>
          <t>COIHUECO Y OTROS (BB)</t>
        </is>
      </c>
      <c r="F480" t="inlineStr">
        <is>
          <t>PIRA</t>
        </is>
      </c>
      <c r="G480" t="n">
        <v>720</v>
      </c>
      <c r="H480" t="n">
        <v>0</v>
      </c>
      <c r="I480" t="n">
        <v>8</v>
      </c>
      <c r="J480" t="n">
        <v>25</v>
      </c>
      <c r="K480" t="n">
        <v>0</v>
      </c>
      <c r="L480" t="n">
        <v>11.14</v>
      </c>
      <c r="M480" t="n">
        <v>0</v>
      </c>
      <c r="N480" t="n">
        <v>180</v>
      </c>
      <c r="O480" t="n">
        <v>100</v>
      </c>
      <c r="P480" t="n">
        <v>1.39</v>
      </c>
    </row>
    <row r="481">
      <c r="A481" t="n">
        <v>827106</v>
      </c>
      <c r="B481" t="inlineStr">
        <is>
          <t>11-05-2026</t>
        </is>
      </c>
      <c r="C481" t="inlineStr">
        <is>
          <t>S58</t>
        </is>
      </c>
      <c r="D481" t="inlineStr">
        <is>
          <t>SKIDDER</t>
        </is>
      </c>
      <c r="E481" t="inlineStr">
        <is>
          <t>COIHUECO Y OTROS (BB)</t>
        </is>
      </c>
      <c r="F481" t="inlineStr">
        <is>
          <t>PIRA</t>
        </is>
      </c>
      <c r="G481" t="n">
        <v>720</v>
      </c>
      <c r="H481" t="n">
        <v>0</v>
      </c>
      <c r="I481" t="n">
        <v>8</v>
      </c>
      <c r="J481" t="n">
        <v>25</v>
      </c>
      <c r="K481" t="n">
        <v>0</v>
      </c>
      <c r="L481" t="n">
        <v>7.35</v>
      </c>
      <c r="M481" t="n">
        <v>0</v>
      </c>
      <c r="N481" t="n">
        <v>180</v>
      </c>
      <c r="O481" t="n">
        <v>100</v>
      </c>
      <c r="P481" t="n">
        <v>0.92</v>
      </c>
    </row>
    <row r="482">
      <c r="A482" t="n">
        <v>827136</v>
      </c>
      <c r="B482" t="inlineStr">
        <is>
          <t>11-05-2026</t>
        </is>
      </c>
      <c r="C482" t="inlineStr">
        <is>
          <t>S223</t>
        </is>
      </c>
      <c r="D482" t="inlineStr">
        <is>
          <t>SKIDDER</t>
        </is>
      </c>
      <c r="E482" t="inlineStr">
        <is>
          <t>LAS ULLOAS (BB)</t>
        </is>
      </c>
      <c r="F482" t="inlineStr">
        <is>
          <t>PIRA</t>
        </is>
      </c>
      <c r="G482" t="n">
        <v>720</v>
      </c>
      <c r="H482" t="n">
        <v>0</v>
      </c>
      <c r="I482" t="n">
        <v>8</v>
      </c>
      <c r="J482" t="n">
        <v>60</v>
      </c>
      <c r="K482" t="n">
        <v>0</v>
      </c>
      <c r="L482" t="n">
        <v>6.82</v>
      </c>
      <c r="M482" t="n">
        <v>0</v>
      </c>
      <c r="N482" t="n">
        <v>180</v>
      </c>
      <c r="O482" t="n">
        <v>100</v>
      </c>
      <c r="P482" t="n">
        <v>0.85</v>
      </c>
    </row>
    <row r="483">
      <c r="A483" t="n">
        <v>827136</v>
      </c>
      <c r="B483" t="inlineStr">
        <is>
          <t>11-05-2026</t>
        </is>
      </c>
      <c r="C483" t="inlineStr">
        <is>
          <t>S223</t>
        </is>
      </c>
      <c r="D483" t="inlineStr">
        <is>
          <t>SKIDDER</t>
        </is>
      </c>
      <c r="E483" t="inlineStr">
        <is>
          <t>LAS ULLOAS (BB)</t>
        </is>
      </c>
      <c r="F483" t="inlineStr">
        <is>
          <t>PIRA</t>
        </is>
      </c>
      <c r="G483" t="n">
        <v>720</v>
      </c>
      <c r="H483" t="n">
        <v>0</v>
      </c>
      <c r="I483" t="n">
        <v>8</v>
      </c>
      <c r="J483" t="n">
        <v>60</v>
      </c>
      <c r="K483" t="n">
        <v>0</v>
      </c>
      <c r="L483" t="n">
        <v>17.98</v>
      </c>
      <c r="M483" t="n">
        <v>0</v>
      </c>
      <c r="N483" t="n">
        <v>180</v>
      </c>
      <c r="O483" t="n">
        <v>100</v>
      </c>
      <c r="P483" t="n">
        <v>2.25</v>
      </c>
    </row>
    <row r="484">
      <c r="A484" t="n">
        <v>827136</v>
      </c>
      <c r="B484" t="inlineStr">
        <is>
          <t>11-05-2026</t>
        </is>
      </c>
      <c r="C484" t="inlineStr">
        <is>
          <t>S223</t>
        </is>
      </c>
      <c r="D484" t="inlineStr">
        <is>
          <t>SKIDDER</t>
        </is>
      </c>
      <c r="E484" t="inlineStr">
        <is>
          <t>LAS ULLOAS (BB)</t>
        </is>
      </c>
      <c r="F484" t="inlineStr">
        <is>
          <t>PIRA</t>
        </is>
      </c>
      <c r="G484" t="n">
        <v>720</v>
      </c>
      <c r="H484" t="n">
        <v>0</v>
      </c>
      <c r="I484" t="n">
        <v>8</v>
      </c>
      <c r="J484" t="n">
        <v>60</v>
      </c>
      <c r="K484" t="n">
        <v>0</v>
      </c>
      <c r="L484" t="n">
        <v>53.36</v>
      </c>
      <c r="M484" t="n">
        <v>0</v>
      </c>
      <c r="N484" t="n">
        <v>180</v>
      </c>
      <c r="O484" t="n">
        <v>100</v>
      </c>
      <c r="P484" t="n">
        <v>6.67</v>
      </c>
    </row>
    <row r="485">
      <c r="A485" t="n">
        <v>827136</v>
      </c>
      <c r="B485" t="inlineStr">
        <is>
          <t>11-05-2026</t>
        </is>
      </c>
      <c r="C485" t="inlineStr">
        <is>
          <t>S223</t>
        </is>
      </c>
      <c r="D485" t="inlineStr">
        <is>
          <t>SKIDDER</t>
        </is>
      </c>
      <c r="E485" t="inlineStr">
        <is>
          <t>LAS ULLOAS (BB)</t>
        </is>
      </c>
      <c r="F485" t="inlineStr">
        <is>
          <t>PIRA</t>
        </is>
      </c>
      <c r="G485" t="n">
        <v>720</v>
      </c>
      <c r="H485" t="n">
        <v>0</v>
      </c>
      <c r="I485" t="n">
        <v>8</v>
      </c>
      <c r="J485" t="n">
        <v>60</v>
      </c>
      <c r="K485" t="n">
        <v>0</v>
      </c>
      <c r="L485" t="n">
        <v>69.3</v>
      </c>
      <c r="M485" t="n">
        <v>0</v>
      </c>
      <c r="N485" t="n">
        <v>180</v>
      </c>
      <c r="O485" t="n">
        <v>100</v>
      </c>
      <c r="P485" t="n">
        <v>8.66</v>
      </c>
    </row>
    <row r="486">
      <c r="A486" t="n">
        <v>827176</v>
      </c>
      <c r="B486" t="inlineStr">
        <is>
          <t>11-05-2026</t>
        </is>
      </c>
      <c r="C486" t="inlineStr">
        <is>
          <t>TEA08</t>
        </is>
      </c>
      <c r="D486" t="inlineStr">
        <is>
          <t>FORWINCH</t>
        </is>
      </c>
      <c r="E486" t="inlineStr">
        <is>
          <t>COIHUECO Y OTROS (BB)</t>
        </is>
      </c>
      <c r="F486" t="inlineStr">
        <is>
          <t>PIRA</t>
        </is>
      </c>
      <c r="G486" t="n">
        <v>720</v>
      </c>
      <c r="H486" t="n">
        <v>0</v>
      </c>
      <c r="I486" t="n">
        <v>9</v>
      </c>
      <c r="J486" t="n">
        <v>50</v>
      </c>
      <c r="K486" t="n">
        <v>0</v>
      </c>
      <c r="L486" t="n">
        <v>32.56</v>
      </c>
      <c r="M486" t="n">
        <v>120</v>
      </c>
      <c r="N486" t="n">
        <v>120</v>
      </c>
      <c r="O486" t="n">
        <v>99.7</v>
      </c>
      <c r="P486" t="n">
        <v>3.62</v>
      </c>
    </row>
    <row r="487">
      <c r="A487" t="n">
        <v>827176</v>
      </c>
      <c r="B487" t="inlineStr">
        <is>
          <t>11-05-2026</t>
        </is>
      </c>
      <c r="C487" t="inlineStr">
        <is>
          <t>TEA08</t>
        </is>
      </c>
      <c r="D487" t="inlineStr">
        <is>
          <t>FORWINCH</t>
        </is>
      </c>
      <c r="E487" t="inlineStr">
        <is>
          <t>COIHUECO Y OTROS (BB)</t>
        </is>
      </c>
      <c r="F487" t="inlineStr">
        <is>
          <t>PIRA</t>
        </is>
      </c>
      <c r="G487" t="n">
        <v>720</v>
      </c>
      <c r="H487" t="n">
        <v>0</v>
      </c>
      <c r="I487" t="n">
        <v>9</v>
      </c>
      <c r="J487" t="n">
        <v>50</v>
      </c>
      <c r="K487" t="n">
        <v>0</v>
      </c>
      <c r="L487" t="n">
        <v>6.64</v>
      </c>
      <c r="M487" t="n">
        <v>120</v>
      </c>
      <c r="N487" t="n">
        <v>120</v>
      </c>
      <c r="O487" t="n">
        <v>99.7</v>
      </c>
      <c r="P487" t="n">
        <v>0.74</v>
      </c>
    </row>
    <row r="488">
      <c r="A488" t="n">
        <v>827176</v>
      </c>
      <c r="B488" t="inlineStr">
        <is>
          <t>11-05-2026</t>
        </is>
      </c>
      <c r="C488" t="inlineStr">
        <is>
          <t>TEA08</t>
        </is>
      </c>
      <c r="D488" t="inlineStr">
        <is>
          <t>FORWINCH</t>
        </is>
      </c>
      <c r="E488" t="inlineStr">
        <is>
          <t>COIHUECO Y OTROS (BB)</t>
        </is>
      </c>
      <c r="F488" t="inlineStr">
        <is>
          <t>PIRA</t>
        </is>
      </c>
      <c r="G488" t="n">
        <v>720</v>
      </c>
      <c r="H488" t="n">
        <v>0</v>
      </c>
      <c r="I488" t="n">
        <v>9</v>
      </c>
      <c r="J488" t="n">
        <v>50</v>
      </c>
      <c r="K488" t="n">
        <v>0</v>
      </c>
      <c r="L488" t="n">
        <v>11.32</v>
      </c>
      <c r="M488" t="n">
        <v>120</v>
      </c>
      <c r="N488" t="n">
        <v>120</v>
      </c>
      <c r="O488" t="n">
        <v>99.7</v>
      </c>
      <c r="P488" t="n">
        <v>1.26</v>
      </c>
    </row>
    <row r="489">
      <c r="A489" t="n">
        <v>827176</v>
      </c>
      <c r="B489" t="inlineStr">
        <is>
          <t>11-05-2026</t>
        </is>
      </c>
      <c r="C489" t="inlineStr">
        <is>
          <t>TEA08</t>
        </is>
      </c>
      <c r="D489" t="inlineStr">
        <is>
          <t>FORWINCH</t>
        </is>
      </c>
      <c r="E489" t="inlineStr">
        <is>
          <t>COIHUECO Y OTROS (BB)</t>
        </is>
      </c>
      <c r="F489" t="inlineStr">
        <is>
          <t>PIRA</t>
        </is>
      </c>
      <c r="G489" t="n">
        <v>720</v>
      </c>
      <c r="H489" t="n">
        <v>0</v>
      </c>
      <c r="I489" t="n">
        <v>9</v>
      </c>
      <c r="J489" t="n">
        <v>50</v>
      </c>
      <c r="K489" t="n">
        <v>0</v>
      </c>
      <c r="L489" t="n">
        <v>54.64</v>
      </c>
      <c r="M489" t="n">
        <v>120</v>
      </c>
      <c r="N489" t="n">
        <v>120</v>
      </c>
      <c r="O489" t="n">
        <v>99.7</v>
      </c>
      <c r="P489" t="n">
        <v>6.07</v>
      </c>
    </row>
    <row r="490">
      <c r="A490" t="n">
        <v>827176</v>
      </c>
      <c r="B490" t="inlineStr">
        <is>
          <t>11-05-2026</t>
        </is>
      </c>
      <c r="C490" t="inlineStr">
        <is>
          <t>TEA08</t>
        </is>
      </c>
      <c r="D490" t="inlineStr">
        <is>
          <t>FORWINCH</t>
        </is>
      </c>
      <c r="E490" t="inlineStr">
        <is>
          <t>COIHUECO Y OTROS (BB)</t>
        </is>
      </c>
      <c r="F490" t="inlineStr">
        <is>
          <t>PIRA</t>
        </is>
      </c>
      <c r="G490" t="n">
        <v>720</v>
      </c>
      <c r="H490" t="n">
        <v>0</v>
      </c>
      <c r="I490" t="n">
        <v>9</v>
      </c>
      <c r="J490" t="n">
        <v>50</v>
      </c>
      <c r="K490" t="n">
        <v>0</v>
      </c>
      <c r="L490" t="n">
        <v>6.28</v>
      </c>
      <c r="M490" t="n">
        <v>120</v>
      </c>
      <c r="N490" t="n">
        <v>120</v>
      </c>
      <c r="O490" t="n">
        <v>99.7</v>
      </c>
      <c r="P490" t="n">
        <v>0.7</v>
      </c>
    </row>
    <row r="491">
      <c r="A491" t="n">
        <v>827176</v>
      </c>
      <c r="B491" t="inlineStr">
        <is>
          <t>11-05-2026</t>
        </is>
      </c>
      <c r="C491" t="inlineStr">
        <is>
          <t>TEA08</t>
        </is>
      </c>
      <c r="D491" t="inlineStr">
        <is>
          <t>FORWINCH</t>
        </is>
      </c>
      <c r="E491" t="inlineStr">
        <is>
          <t>COIHUECO Y OTROS (BB)</t>
        </is>
      </c>
      <c r="F491" t="inlineStr">
        <is>
          <t>PIRA</t>
        </is>
      </c>
      <c r="G491" t="n">
        <v>720</v>
      </c>
      <c r="H491" t="n">
        <v>0</v>
      </c>
      <c r="I491" t="n">
        <v>9</v>
      </c>
      <c r="J491" t="n">
        <v>50</v>
      </c>
      <c r="K491" t="n">
        <v>0</v>
      </c>
      <c r="L491" t="n">
        <v>6.59</v>
      </c>
      <c r="M491" t="n">
        <v>120</v>
      </c>
      <c r="N491" t="n">
        <v>120</v>
      </c>
      <c r="O491" t="n">
        <v>99.7</v>
      </c>
      <c r="P491" t="n">
        <v>0.73</v>
      </c>
    </row>
    <row r="492">
      <c r="A492" t="n">
        <v>827176</v>
      </c>
      <c r="B492" t="inlineStr">
        <is>
          <t>11-05-2026</t>
        </is>
      </c>
      <c r="C492" t="inlineStr">
        <is>
          <t>TEA08</t>
        </is>
      </c>
      <c r="D492" t="inlineStr">
        <is>
          <t>FORWINCH</t>
        </is>
      </c>
      <c r="E492" t="inlineStr">
        <is>
          <t>COIHUECO Y OTROS (BB)</t>
        </is>
      </c>
      <c r="F492" t="inlineStr">
        <is>
          <t>PIRA</t>
        </is>
      </c>
      <c r="G492" t="n">
        <v>720</v>
      </c>
      <c r="H492" t="n">
        <v>0</v>
      </c>
      <c r="I492" t="n">
        <v>9</v>
      </c>
      <c r="J492" t="n">
        <v>50</v>
      </c>
      <c r="K492" t="n">
        <v>0</v>
      </c>
      <c r="L492" t="n">
        <v>76.64</v>
      </c>
      <c r="M492" t="n">
        <v>120</v>
      </c>
      <c r="N492" t="n">
        <v>120</v>
      </c>
      <c r="O492" t="n">
        <v>99.7</v>
      </c>
      <c r="P492" t="n">
        <v>8.52</v>
      </c>
    </row>
    <row r="493">
      <c r="A493" t="n">
        <v>827176</v>
      </c>
      <c r="B493" t="inlineStr">
        <is>
          <t>11-05-2026</t>
        </is>
      </c>
      <c r="C493" t="inlineStr">
        <is>
          <t>TEA08</t>
        </is>
      </c>
      <c r="D493" t="inlineStr">
        <is>
          <t>FORWINCH</t>
        </is>
      </c>
      <c r="E493" t="inlineStr">
        <is>
          <t>COIHUECO Y OTROS (BB)</t>
        </is>
      </c>
      <c r="F493" t="inlineStr">
        <is>
          <t>PIRA</t>
        </is>
      </c>
      <c r="G493" t="n">
        <v>720</v>
      </c>
      <c r="H493" t="n">
        <v>0</v>
      </c>
      <c r="I493" t="n">
        <v>9</v>
      </c>
      <c r="J493" t="n">
        <v>50</v>
      </c>
      <c r="K493" t="n">
        <v>0</v>
      </c>
      <c r="L493" t="n">
        <v>13.15</v>
      </c>
      <c r="M493" t="n">
        <v>120</v>
      </c>
      <c r="N493" t="n">
        <v>120</v>
      </c>
      <c r="O493" t="n">
        <v>99.7</v>
      </c>
      <c r="P493" t="n">
        <v>1.46</v>
      </c>
    </row>
    <row r="494">
      <c r="A494" t="n">
        <v>827176</v>
      </c>
      <c r="B494" t="inlineStr">
        <is>
          <t>11-05-2026</t>
        </is>
      </c>
      <c r="C494" t="inlineStr">
        <is>
          <t>TEA08</t>
        </is>
      </c>
      <c r="D494" t="inlineStr">
        <is>
          <t>FORWINCH</t>
        </is>
      </c>
      <c r="E494" t="inlineStr">
        <is>
          <t>COIHUECO Y OTROS (BB)</t>
        </is>
      </c>
      <c r="F494" t="inlineStr">
        <is>
          <t>PIRA</t>
        </is>
      </c>
      <c r="G494" t="n">
        <v>720</v>
      </c>
      <c r="H494" t="n">
        <v>0</v>
      </c>
      <c r="I494" t="n">
        <v>9</v>
      </c>
      <c r="J494" t="n">
        <v>50</v>
      </c>
      <c r="K494" t="n">
        <v>0</v>
      </c>
      <c r="L494" t="n">
        <v>29.18</v>
      </c>
      <c r="M494" t="n">
        <v>120</v>
      </c>
      <c r="N494" t="n">
        <v>120</v>
      </c>
      <c r="O494" t="n">
        <v>99.7</v>
      </c>
      <c r="P494" t="n">
        <v>3.24</v>
      </c>
    </row>
    <row r="495">
      <c r="A495" t="n">
        <v>827213</v>
      </c>
      <c r="B495" t="inlineStr">
        <is>
          <t>12-05-2026</t>
        </is>
      </c>
      <c r="C495" t="inlineStr">
        <is>
          <t>S223</t>
        </is>
      </c>
      <c r="D495" t="inlineStr">
        <is>
          <t>SKIDDER</t>
        </is>
      </c>
      <c r="E495" t="inlineStr">
        <is>
          <t>LAS ULLOAS (BB)</t>
        </is>
      </c>
      <c r="F495" t="inlineStr">
        <is>
          <t>PIRA</t>
        </is>
      </c>
      <c r="G495" t="n">
        <v>720</v>
      </c>
      <c r="H495" t="n">
        <v>0</v>
      </c>
      <c r="I495" t="n">
        <v>7</v>
      </c>
      <c r="J495" t="n">
        <v>25</v>
      </c>
      <c r="K495" t="n">
        <v>0</v>
      </c>
      <c r="L495" t="n">
        <v>0</v>
      </c>
      <c r="M495" t="n">
        <v>0</v>
      </c>
      <c r="N495" t="n">
        <v>240</v>
      </c>
      <c r="O495" t="n">
        <v>100</v>
      </c>
      <c r="P495" t="n">
        <v>0</v>
      </c>
    </row>
    <row r="496">
      <c r="A496" t="n">
        <v>827213</v>
      </c>
      <c r="B496" t="inlineStr">
        <is>
          <t>12-05-2026</t>
        </is>
      </c>
      <c r="C496" t="inlineStr">
        <is>
          <t>S223</t>
        </is>
      </c>
      <c r="D496" t="inlineStr">
        <is>
          <t>SKIDDER</t>
        </is>
      </c>
      <c r="E496" t="inlineStr">
        <is>
          <t>LAS ULLOAS (BB)</t>
        </is>
      </c>
      <c r="F496" t="inlineStr">
        <is>
          <t>PIRA</t>
        </is>
      </c>
      <c r="G496" t="n">
        <v>720</v>
      </c>
      <c r="H496" t="n">
        <v>0</v>
      </c>
      <c r="I496" t="n">
        <v>7</v>
      </c>
      <c r="J496" t="n">
        <v>25</v>
      </c>
      <c r="K496" t="n">
        <v>0</v>
      </c>
      <c r="L496" t="n">
        <v>3.9</v>
      </c>
      <c r="M496" t="n">
        <v>0</v>
      </c>
      <c r="N496" t="n">
        <v>240</v>
      </c>
      <c r="O496" t="n">
        <v>100</v>
      </c>
      <c r="P496" t="n">
        <v>0.5600000000000001</v>
      </c>
    </row>
    <row r="497">
      <c r="A497" t="n">
        <v>827213</v>
      </c>
      <c r="B497" t="inlineStr">
        <is>
          <t>12-05-2026</t>
        </is>
      </c>
      <c r="C497" t="inlineStr">
        <is>
          <t>S223</t>
        </is>
      </c>
      <c r="D497" t="inlineStr">
        <is>
          <t>SKIDDER</t>
        </is>
      </c>
      <c r="E497" t="inlineStr">
        <is>
          <t>LAS ULLOAS (BB)</t>
        </is>
      </c>
      <c r="F497" t="inlineStr">
        <is>
          <t>PIRA</t>
        </is>
      </c>
      <c r="G497" t="n">
        <v>720</v>
      </c>
      <c r="H497" t="n">
        <v>0</v>
      </c>
      <c r="I497" t="n">
        <v>7</v>
      </c>
      <c r="J497" t="n">
        <v>25</v>
      </c>
      <c r="K497" t="n">
        <v>0</v>
      </c>
      <c r="L497" t="n">
        <v>6.1</v>
      </c>
      <c r="M497" t="n">
        <v>0</v>
      </c>
      <c r="N497" t="n">
        <v>240</v>
      </c>
      <c r="O497" t="n">
        <v>100</v>
      </c>
      <c r="P497" t="n">
        <v>0.87</v>
      </c>
    </row>
    <row r="498">
      <c r="A498" t="n">
        <v>827213</v>
      </c>
      <c r="B498" t="inlineStr">
        <is>
          <t>12-05-2026</t>
        </is>
      </c>
      <c r="C498" t="inlineStr">
        <is>
          <t>S223</t>
        </is>
      </c>
      <c r="D498" t="inlineStr">
        <is>
          <t>SKIDDER</t>
        </is>
      </c>
      <c r="E498" t="inlineStr">
        <is>
          <t>LAS ULLOAS (BB)</t>
        </is>
      </c>
      <c r="F498" t="inlineStr">
        <is>
          <t>PIRA</t>
        </is>
      </c>
      <c r="G498" t="n">
        <v>720</v>
      </c>
      <c r="H498" t="n">
        <v>0</v>
      </c>
      <c r="I498" t="n">
        <v>7</v>
      </c>
      <c r="J498" t="n">
        <v>25</v>
      </c>
      <c r="K498" t="n">
        <v>0</v>
      </c>
      <c r="L498" t="n">
        <v>38.97</v>
      </c>
      <c r="M498" t="n">
        <v>0</v>
      </c>
      <c r="N498" t="n">
        <v>240</v>
      </c>
      <c r="O498" t="n">
        <v>100</v>
      </c>
      <c r="P498" t="n">
        <v>5.57</v>
      </c>
    </row>
    <row r="499">
      <c r="A499" t="n">
        <v>827213</v>
      </c>
      <c r="B499" t="inlineStr">
        <is>
          <t>12-05-2026</t>
        </is>
      </c>
      <c r="C499" t="inlineStr">
        <is>
          <t>S223</t>
        </is>
      </c>
      <c r="D499" t="inlineStr">
        <is>
          <t>SKIDDER</t>
        </is>
      </c>
      <c r="E499" t="inlineStr">
        <is>
          <t>LAS ULLOAS (BB)</t>
        </is>
      </c>
      <c r="F499" t="inlineStr">
        <is>
          <t>PIRA</t>
        </is>
      </c>
      <c r="G499" t="n">
        <v>720</v>
      </c>
      <c r="H499" t="n">
        <v>0</v>
      </c>
      <c r="I499" t="n">
        <v>7</v>
      </c>
      <c r="J499" t="n">
        <v>25</v>
      </c>
      <c r="K499" t="n">
        <v>0</v>
      </c>
      <c r="L499" t="n">
        <v>69.3</v>
      </c>
      <c r="M499" t="n">
        <v>0</v>
      </c>
      <c r="N499" t="n">
        <v>240</v>
      </c>
      <c r="O499" t="n">
        <v>100</v>
      </c>
      <c r="P499" t="n">
        <v>9.9</v>
      </c>
    </row>
    <row r="500">
      <c r="A500" t="n">
        <v>827230</v>
      </c>
      <c r="B500" t="inlineStr">
        <is>
          <t>12-05-2026</t>
        </is>
      </c>
      <c r="C500" t="inlineStr">
        <is>
          <t>S123</t>
        </is>
      </c>
      <c r="D500" t="inlineStr">
        <is>
          <t>SKIDDER</t>
        </is>
      </c>
      <c r="E500" t="inlineStr">
        <is>
          <t>EL CABRITO CBB</t>
        </is>
      </c>
      <c r="F500" t="inlineStr">
        <is>
          <t>PIRA</t>
        </is>
      </c>
      <c r="G500" t="n">
        <v>720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660</v>
      </c>
      <c r="O500" t="n">
        <v>100</v>
      </c>
      <c r="P500" t="n">
        <v>0</v>
      </c>
    </row>
    <row r="501">
      <c r="A501" t="n">
        <v>827230</v>
      </c>
      <c r="B501" t="inlineStr">
        <is>
          <t>12-05-2026</t>
        </is>
      </c>
      <c r="C501" t="inlineStr">
        <is>
          <t>S123</t>
        </is>
      </c>
      <c r="D501" t="inlineStr">
        <is>
          <t>SKIDDER</t>
        </is>
      </c>
      <c r="E501" t="inlineStr">
        <is>
          <t>EL CABRITO CBB</t>
        </is>
      </c>
      <c r="F501" t="inlineStr">
        <is>
          <t>PIRA</t>
        </is>
      </c>
      <c r="G501" t="n">
        <v>720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660</v>
      </c>
      <c r="O501" t="n">
        <v>100</v>
      </c>
      <c r="P501" t="n">
        <v>0</v>
      </c>
    </row>
    <row r="502">
      <c r="A502" t="n">
        <v>827230</v>
      </c>
      <c r="B502" t="inlineStr">
        <is>
          <t>12-05-2026</t>
        </is>
      </c>
      <c r="C502" t="inlineStr">
        <is>
          <t>S123</t>
        </is>
      </c>
      <c r="D502" t="inlineStr">
        <is>
          <t>SKIDDER</t>
        </is>
      </c>
      <c r="E502" t="inlineStr">
        <is>
          <t>EL CABRITO CBB</t>
        </is>
      </c>
      <c r="F502" t="inlineStr">
        <is>
          <t>PIRA</t>
        </is>
      </c>
      <c r="G502" t="n">
        <v>720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660</v>
      </c>
      <c r="O502" t="n">
        <v>100</v>
      </c>
      <c r="P502" t="n">
        <v>0</v>
      </c>
    </row>
    <row r="503">
      <c r="A503" t="n">
        <v>827230</v>
      </c>
      <c r="B503" t="inlineStr">
        <is>
          <t>12-05-2026</t>
        </is>
      </c>
      <c r="C503" t="inlineStr">
        <is>
          <t>S123</t>
        </is>
      </c>
      <c r="D503" t="inlineStr">
        <is>
          <t>SKIDDER</t>
        </is>
      </c>
      <c r="E503" t="inlineStr">
        <is>
          <t>EL CABRITO CBB</t>
        </is>
      </c>
      <c r="F503" t="inlineStr">
        <is>
          <t>PIRA</t>
        </is>
      </c>
      <c r="G503" t="n">
        <v>720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660</v>
      </c>
      <c r="O503" t="n">
        <v>100</v>
      </c>
      <c r="P503" t="n">
        <v>0</v>
      </c>
    </row>
    <row r="504">
      <c r="A504" t="n">
        <v>827230</v>
      </c>
      <c r="B504" t="inlineStr">
        <is>
          <t>12-05-2026</t>
        </is>
      </c>
      <c r="C504" t="inlineStr">
        <is>
          <t>S123</t>
        </is>
      </c>
      <c r="D504" t="inlineStr">
        <is>
          <t>SKIDDER</t>
        </is>
      </c>
      <c r="E504" t="inlineStr">
        <is>
          <t>EL CABRITO CBB</t>
        </is>
      </c>
      <c r="F504" t="inlineStr">
        <is>
          <t>PIRA</t>
        </is>
      </c>
      <c r="G504" t="n">
        <v>720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660</v>
      </c>
      <c r="O504" t="n">
        <v>100</v>
      </c>
      <c r="P504" t="n">
        <v>0</v>
      </c>
    </row>
    <row r="505">
      <c r="A505" t="n">
        <v>827230</v>
      </c>
      <c r="B505" t="inlineStr">
        <is>
          <t>12-05-2026</t>
        </is>
      </c>
      <c r="C505" t="inlineStr">
        <is>
          <t>S123</t>
        </is>
      </c>
      <c r="D505" t="inlineStr">
        <is>
          <t>SKIDDER</t>
        </is>
      </c>
      <c r="E505" t="inlineStr">
        <is>
          <t>EL CABRITO CBB</t>
        </is>
      </c>
      <c r="F505" t="inlineStr">
        <is>
          <t>PIRA</t>
        </is>
      </c>
      <c r="G505" t="n">
        <v>720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660</v>
      </c>
      <c r="O505" t="n">
        <v>100</v>
      </c>
      <c r="P505" t="n">
        <v>0</v>
      </c>
    </row>
    <row r="506">
      <c r="A506" t="n">
        <v>827230</v>
      </c>
      <c r="B506" t="inlineStr">
        <is>
          <t>12-05-2026</t>
        </is>
      </c>
      <c r="C506" t="inlineStr">
        <is>
          <t>S123</t>
        </is>
      </c>
      <c r="D506" t="inlineStr">
        <is>
          <t>SKIDDER</t>
        </is>
      </c>
      <c r="E506" t="inlineStr">
        <is>
          <t>EL CABRITO CBB</t>
        </is>
      </c>
      <c r="F506" t="inlineStr">
        <is>
          <t>PIRA</t>
        </is>
      </c>
      <c r="G506" t="n">
        <v>720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660</v>
      </c>
      <c r="O506" t="n">
        <v>100</v>
      </c>
      <c r="P506" t="n">
        <v>0</v>
      </c>
    </row>
    <row r="507">
      <c r="A507" t="n">
        <v>827230</v>
      </c>
      <c r="B507" t="inlineStr">
        <is>
          <t>12-05-2026</t>
        </is>
      </c>
      <c r="C507" t="inlineStr">
        <is>
          <t>S123</t>
        </is>
      </c>
      <c r="D507" t="inlineStr">
        <is>
          <t>SKIDDER</t>
        </is>
      </c>
      <c r="E507" t="inlineStr">
        <is>
          <t>EL CABRITO CBB</t>
        </is>
      </c>
      <c r="F507" t="inlineStr">
        <is>
          <t>PIRA</t>
        </is>
      </c>
      <c r="G507" t="n">
        <v>720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660</v>
      </c>
      <c r="O507" t="n">
        <v>100</v>
      </c>
      <c r="P507" t="n">
        <v>0</v>
      </c>
    </row>
    <row r="508">
      <c r="A508" t="n">
        <v>827230</v>
      </c>
      <c r="B508" t="inlineStr">
        <is>
          <t>12-05-2026</t>
        </is>
      </c>
      <c r="C508" t="inlineStr">
        <is>
          <t>S123</t>
        </is>
      </c>
      <c r="D508" t="inlineStr">
        <is>
          <t>SKIDDER</t>
        </is>
      </c>
      <c r="E508" t="inlineStr">
        <is>
          <t>EL CABRITO CBB</t>
        </is>
      </c>
      <c r="F508" t="inlineStr">
        <is>
          <t>PIRA</t>
        </is>
      </c>
      <c r="G508" t="n">
        <v>720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660</v>
      </c>
      <c r="O508" t="n">
        <v>100</v>
      </c>
      <c r="P508" t="n">
        <v>0</v>
      </c>
    </row>
    <row r="509">
      <c r="A509" t="n">
        <v>827232</v>
      </c>
      <c r="B509" t="inlineStr">
        <is>
          <t>12-05-2026</t>
        </is>
      </c>
      <c r="C509" t="inlineStr">
        <is>
          <t>TEA02</t>
        </is>
      </c>
      <c r="D509" t="inlineStr">
        <is>
          <t>FORWINCH</t>
        </is>
      </c>
      <c r="E509" t="inlineStr">
        <is>
          <t>LOMA DE LA VACA</t>
        </is>
      </c>
      <c r="F509" t="inlineStr">
        <is>
          <t>PIRA</t>
        </is>
      </c>
      <c r="G509" t="n">
        <v>720</v>
      </c>
      <c r="H509" t="n">
        <v>0</v>
      </c>
      <c r="I509" t="n">
        <v>2</v>
      </c>
      <c r="J509" t="n">
        <v>20</v>
      </c>
      <c r="K509" t="n">
        <v>0</v>
      </c>
      <c r="L509" t="n">
        <v>6.96</v>
      </c>
      <c r="M509" t="n">
        <v>0</v>
      </c>
      <c r="N509" t="n">
        <v>540</v>
      </c>
      <c r="O509" t="n">
        <v>100</v>
      </c>
      <c r="P509" t="n">
        <v>3.48</v>
      </c>
    </row>
    <row r="510">
      <c r="A510" t="n">
        <v>827232</v>
      </c>
      <c r="B510" t="inlineStr">
        <is>
          <t>12-05-2026</t>
        </is>
      </c>
      <c r="C510" t="inlineStr">
        <is>
          <t>TEA02</t>
        </is>
      </c>
      <c r="D510" t="inlineStr">
        <is>
          <t>FORWINCH</t>
        </is>
      </c>
      <c r="E510" t="inlineStr">
        <is>
          <t>LOMA DE LA VACA</t>
        </is>
      </c>
      <c r="F510" t="inlineStr">
        <is>
          <t>PIRA</t>
        </is>
      </c>
      <c r="G510" t="n">
        <v>720</v>
      </c>
      <c r="H510" t="n">
        <v>0</v>
      </c>
      <c r="I510" t="n">
        <v>2</v>
      </c>
      <c r="J510" t="n">
        <v>20</v>
      </c>
      <c r="K510" t="n">
        <v>0</v>
      </c>
      <c r="L510" t="n">
        <v>4.05</v>
      </c>
      <c r="M510" t="n">
        <v>0</v>
      </c>
      <c r="N510" t="n">
        <v>540</v>
      </c>
      <c r="O510" t="n">
        <v>100</v>
      </c>
      <c r="P510" t="n">
        <v>2.03</v>
      </c>
    </row>
    <row r="511">
      <c r="A511" t="n">
        <v>827232</v>
      </c>
      <c r="B511" t="inlineStr">
        <is>
          <t>12-05-2026</t>
        </is>
      </c>
      <c r="C511" t="inlineStr">
        <is>
          <t>TEA02</t>
        </is>
      </c>
      <c r="D511" t="inlineStr">
        <is>
          <t>FORWINCH</t>
        </is>
      </c>
      <c r="E511" t="inlineStr">
        <is>
          <t>LOMA DE LA VACA</t>
        </is>
      </c>
      <c r="F511" t="inlineStr">
        <is>
          <t>PIRA</t>
        </is>
      </c>
      <c r="G511" t="n">
        <v>720</v>
      </c>
      <c r="H511" t="n">
        <v>0</v>
      </c>
      <c r="I511" t="n">
        <v>2</v>
      </c>
      <c r="J511" t="n">
        <v>20</v>
      </c>
      <c r="K511" t="n">
        <v>0</v>
      </c>
      <c r="L511" t="n">
        <v>0.63</v>
      </c>
      <c r="M511" t="n">
        <v>0</v>
      </c>
      <c r="N511" t="n">
        <v>540</v>
      </c>
      <c r="O511" t="n">
        <v>100</v>
      </c>
      <c r="P511" t="n">
        <v>0.32</v>
      </c>
    </row>
    <row r="512">
      <c r="A512" t="n">
        <v>827232</v>
      </c>
      <c r="B512" t="inlineStr">
        <is>
          <t>12-05-2026</t>
        </is>
      </c>
      <c r="C512" t="inlineStr">
        <is>
          <t>TEA02</t>
        </is>
      </c>
      <c r="D512" t="inlineStr">
        <is>
          <t>FORWINCH</t>
        </is>
      </c>
      <c r="E512" t="inlineStr">
        <is>
          <t>LOMA DE LA VACA</t>
        </is>
      </c>
      <c r="F512" t="inlineStr">
        <is>
          <t>PIRA</t>
        </is>
      </c>
      <c r="G512" t="n">
        <v>720</v>
      </c>
      <c r="H512" t="n">
        <v>0</v>
      </c>
      <c r="I512" t="n">
        <v>2</v>
      </c>
      <c r="J512" t="n">
        <v>20</v>
      </c>
      <c r="K512" t="n">
        <v>0</v>
      </c>
      <c r="L512" t="n">
        <v>15.79</v>
      </c>
      <c r="M512" t="n">
        <v>0</v>
      </c>
      <c r="N512" t="n">
        <v>540</v>
      </c>
      <c r="O512" t="n">
        <v>100</v>
      </c>
      <c r="P512" t="n">
        <v>7.9</v>
      </c>
    </row>
    <row r="513">
      <c r="A513" t="n">
        <v>827233</v>
      </c>
      <c r="B513" t="inlineStr">
        <is>
          <t>12-05-2026</t>
        </is>
      </c>
      <c r="C513" t="inlineStr">
        <is>
          <t>T125</t>
        </is>
      </c>
      <c r="D513" t="inlineStr">
        <is>
          <t>TORRE500</t>
        </is>
      </c>
      <c r="E513" t="inlineStr">
        <is>
          <t>POLHUIN</t>
        </is>
      </c>
      <c r="F513" t="inlineStr">
        <is>
          <t>EUGL</t>
        </is>
      </c>
      <c r="G513" t="n">
        <v>720</v>
      </c>
      <c r="H513" t="n">
        <v>0</v>
      </c>
      <c r="I513" t="n">
        <v>11</v>
      </c>
      <c r="J513" t="n">
        <v>113</v>
      </c>
      <c r="K513" t="n">
        <v>0</v>
      </c>
      <c r="L513" t="n">
        <v>14.33</v>
      </c>
      <c r="M513" t="n">
        <v>0</v>
      </c>
      <c r="N513" t="n">
        <v>0</v>
      </c>
      <c r="O513" t="n">
        <v>100</v>
      </c>
      <c r="P513" t="n">
        <v>1.3</v>
      </c>
    </row>
    <row r="514">
      <c r="A514" t="n">
        <v>827233</v>
      </c>
      <c r="B514" t="inlineStr">
        <is>
          <t>12-05-2026</t>
        </is>
      </c>
      <c r="C514" t="inlineStr">
        <is>
          <t>T125</t>
        </is>
      </c>
      <c r="D514" t="inlineStr">
        <is>
          <t>TORRE500</t>
        </is>
      </c>
      <c r="E514" t="inlineStr">
        <is>
          <t>POLHUIN</t>
        </is>
      </c>
      <c r="F514" t="inlineStr">
        <is>
          <t>EUGL</t>
        </is>
      </c>
      <c r="G514" t="n">
        <v>720</v>
      </c>
      <c r="H514" t="n">
        <v>0</v>
      </c>
      <c r="I514" t="n">
        <v>11</v>
      </c>
      <c r="J514" t="n">
        <v>113</v>
      </c>
      <c r="K514" t="n">
        <v>0</v>
      </c>
      <c r="L514" t="n">
        <v>125.06</v>
      </c>
      <c r="M514" t="n">
        <v>0</v>
      </c>
      <c r="N514" t="n">
        <v>0</v>
      </c>
      <c r="O514" t="n">
        <v>100</v>
      </c>
      <c r="P514" t="n">
        <v>11.37</v>
      </c>
    </row>
    <row r="515">
      <c r="A515" t="n">
        <v>827245</v>
      </c>
      <c r="B515" t="inlineStr">
        <is>
          <t>12-05-2026</t>
        </is>
      </c>
      <c r="C515" t="inlineStr">
        <is>
          <t>S58</t>
        </is>
      </c>
      <c r="D515" t="inlineStr">
        <is>
          <t>SKIDDER</t>
        </is>
      </c>
      <c r="E515" t="inlineStr">
        <is>
          <t>COIHUECO Y OTROS (BB)</t>
        </is>
      </c>
      <c r="F515" t="inlineStr">
        <is>
          <t>PIRA</t>
        </is>
      </c>
      <c r="G515" t="n">
        <v>720</v>
      </c>
      <c r="H515" t="n">
        <v>0</v>
      </c>
      <c r="I515" t="n">
        <v>9</v>
      </c>
      <c r="J515" t="n">
        <v>35</v>
      </c>
      <c r="K515" t="n">
        <v>0</v>
      </c>
      <c r="L515" t="n">
        <v>14.36</v>
      </c>
      <c r="M515" t="n">
        <v>120</v>
      </c>
      <c r="N515" t="n">
        <v>120</v>
      </c>
      <c r="O515" t="n">
        <v>99.7</v>
      </c>
      <c r="P515" t="n">
        <v>1.6</v>
      </c>
    </row>
    <row r="516">
      <c r="A516" t="n">
        <v>827245</v>
      </c>
      <c r="B516" t="inlineStr">
        <is>
          <t>12-05-2026</t>
        </is>
      </c>
      <c r="C516" t="inlineStr">
        <is>
          <t>S58</t>
        </is>
      </c>
      <c r="D516" t="inlineStr">
        <is>
          <t>SKIDDER</t>
        </is>
      </c>
      <c r="E516" t="inlineStr">
        <is>
          <t>COIHUECO Y OTROS (BB)</t>
        </is>
      </c>
      <c r="F516" t="inlineStr">
        <is>
          <t>PIRA</t>
        </is>
      </c>
      <c r="G516" t="n">
        <v>720</v>
      </c>
      <c r="H516" t="n">
        <v>0</v>
      </c>
      <c r="I516" t="n">
        <v>9</v>
      </c>
      <c r="J516" t="n">
        <v>35</v>
      </c>
      <c r="K516" t="n">
        <v>0</v>
      </c>
      <c r="L516" t="n">
        <v>27.13</v>
      </c>
      <c r="M516" t="n">
        <v>120</v>
      </c>
      <c r="N516" t="n">
        <v>120</v>
      </c>
      <c r="O516" t="n">
        <v>99.7</v>
      </c>
      <c r="P516" t="n">
        <v>3.01</v>
      </c>
    </row>
    <row r="517">
      <c r="A517" t="n">
        <v>827245</v>
      </c>
      <c r="B517" t="inlineStr">
        <is>
          <t>12-05-2026</t>
        </is>
      </c>
      <c r="C517" t="inlineStr">
        <is>
          <t>S58</t>
        </is>
      </c>
      <c r="D517" t="inlineStr">
        <is>
          <t>SKIDDER</t>
        </is>
      </c>
      <c r="E517" t="inlineStr">
        <is>
          <t>COIHUECO Y OTROS (BB)</t>
        </is>
      </c>
      <c r="F517" t="inlineStr">
        <is>
          <t>PIRA</t>
        </is>
      </c>
      <c r="G517" t="n">
        <v>720</v>
      </c>
      <c r="H517" t="n">
        <v>0</v>
      </c>
      <c r="I517" t="n">
        <v>9</v>
      </c>
      <c r="J517" t="n">
        <v>35</v>
      </c>
      <c r="K517" t="n">
        <v>0</v>
      </c>
      <c r="L517" t="n">
        <v>11.14</v>
      </c>
      <c r="M517" t="n">
        <v>120</v>
      </c>
      <c r="N517" t="n">
        <v>120</v>
      </c>
      <c r="O517" t="n">
        <v>99.7</v>
      </c>
      <c r="P517" t="n">
        <v>1.24</v>
      </c>
    </row>
    <row r="518">
      <c r="A518" t="n">
        <v>827245</v>
      </c>
      <c r="B518" t="inlineStr">
        <is>
          <t>12-05-2026</t>
        </is>
      </c>
      <c r="C518" t="inlineStr">
        <is>
          <t>S58</t>
        </is>
      </c>
      <c r="D518" t="inlineStr">
        <is>
          <t>SKIDDER</t>
        </is>
      </c>
      <c r="E518" t="inlineStr">
        <is>
          <t>COIHUECO Y OTROS (BB)</t>
        </is>
      </c>
      <c r="F518" t="inlineStr">
        <is>
          <t>PIRA</t>
        </is>
      </c>
      <c r="G518" t="n">
        <v>720</v>
      </c>
      <c r="H518" t="n">
        <v>0</v>
      </c>
      <c r="I518" t="n">
        <v>9</v>
      </c>
      <c r="J518" t="n">
        <v>35</v>
      </c>
      <c r="K518" t="n">
        <v>0</v>
      </c>
      <c r="L518" t="n">
        <v>10.59</v>
      </c>
      <c r="M518" t="n">
        <v>120</v>
      </c>
      <c r="N518" t="n">
        <v>120</v>
      </c>
      <c r="O518" t="n">
        <v>99.7</v>
      </c>
      <c r="P518" t="n">
        <v>1.18</v>
      </c>
    </row>
    <row r="519">
      <c r="A519" t="n">
        <v>827245</v>
      </c>
      <c r="B519" t="inlineStr">
        <is>
          <t>12-05-2026</t>
        </is>
      </c>
      <c r="C519" t="inlineStr">
        <is>
          <t>S58</t>
        </is>
      </c>
      <c r="D519" t="inlineStr">
        <is>
          <t>SKIDDER</t>
        </is>
      </c>
      <c r="E519" t="inlineStr">
        <is>
          <t>COIHUECO Y OTROS (BB)</t>
        </is>
      </c>
      <c r="F519" t="inlineStr">
        <is>
          <t>PIRA</t>
        </is>
      </c>
      <c r="G519" t="n">
        <v>720</v>
      </c>
      <c r="H519" t="n">
        <v>0</v>
      </c>
      <c r="I519" t="n">
        <v>9</v>
      </c>
      <c r="J519" t="n">
        <v>35</v>
      </c>
      <c r="K519" t="n">
        <v>0</v>
      </c>
      <c r="L519" t="n">
        <v>26.12</v>
      </c>
      <c r="M519" t="n">
        <v>120</v>
      </c>
      <c r="N519" t="n">
        <v>120</v>
      </c>
      <c r="O519" t="n">
        <v>99.7</v>
      </c>
      <c r="P519" t="n">
        <v>2.9</v>
      </c>
    </row>
    <row r="520">
      <c r="A520" t="n">
        <v>827245</v>
      </c>
      <c r="B520" t="inlineStr">
        <is>
          <t>12-05-2026</t>
        </is>
      </c>
      <c r="C520" t="inlineStr">
        <is>
          <t>S58</t>
        </is>
      </c>
      <c r="D520" t="inlineStr">
        <is>
          <t>SKIDDER</t>
        </is>
      </c>
      <c r="E520" t="inlineStr">
        <is>
          <t>COIHUECO Y OTROS (BB)</t>
        </is>
      </c>
      <c r="F520" t="inlineStr">
        <is>
          <t>PIRA</t>
        </is>
      </c>
      <c r="G520" t="n">
        <v>720</v>
      </c>
      <c r="H520" t="n">
        <v>0</v>
      </c>
      <c r="I520" t="n">
        <v>9</v>
      </c>
      <c r="J520" t="n">
        <v>35</v>
      </c>
      <c r="K520" t="n">
        <v>0</v>
      </c>
      <c r="L520" t="n">
        <v>15.62</v>
      </c>
      <c r="M520" t="n">
        <v>120</v>
      </c>
      <c r="N520" t="n">
        <v>120</v>
      </c>
      <c r="O520" t="n">
        <v>99.7</v>
      </c>
      <c r="P520" t="n">
        <v>1.74</v>
      </c>
    </row>
    <row r="521">
      <c r="A521" t="n">
        <v>827245</v>
      </c>
      <c r="B521" t="inlineStr">
        <is>
          <t>12-05-2026</t>
        </is>
      </c>
      <c r="C521" t="inlineStr">
        <is>
          <t>S58</t>
        </is>
      </c>
      <c r="D521" t="inlineStr">
        <is>
          <t>SKIDDER</t>
        </is>
      </c>
      <c r="E521" t="inlineStr">
        <is>
          <t>COIHUECO Y OTROS (BB)</t>
        </is>
      </c>
      <c r="F521" t="inlineStr">
        <is>
          <t>PIRA</t>
        </is>
      </c>
      <c r="G521" t="n">
        <v>720</v>
      </c>
      <c r="H521" t="n">
        <v>0</v>
      </c>
      <c r="I521" t="n">
        <v>9</v>
      </c>
      <c r="J521" t="n">
        <v>35</v>
      </c>
      <c r="K521" t="n">
        <v>0</v>
      </c>
      <c r="L521" t="n">
        <v>30.11</v>
      </c>
      <c r="M521" t="n">
        <v>120</v>
      </c>
      <c r="N521" t="n">
        <v>120</v>
      </c>
      <c r="O521" t="n">
        <v>99.7</v>
      </c>
      <c r="P521" t="n">
        <v>3.35</v>
      </c>
    </row>
    <row r="522">
      <c r="A522" t="n">
        <v>827245</v>
      </c>
      <c r="B522" t="inlineStr">
        <is>
          <t>12-05-2026</t>
        </is>
      </c>
      <c r="C522" t="inlineStr">
        <is>
          <t>S58</t>
        </is>
      </c>
      <c r="D522" t="inlineStr">
        <is>
          <t>SKIDDER</t>
        </is>
      </c>
      <c r="E522" t="inlineStr">
        <is>
          <t>COIHUECO Y OTROS (BB)</t>
        </is>
      </c>
      <c r="F522" t="inlineStr">
        <is>
          <t>PIRA</t>
        </is>
      </c>
      <c r="G522" t="n">
        <v>720</v>
      </c>
      <c r="H522" t="n">
        <v>0</v>
      </c>
      <c r="I522" t="n">
        <v>9</v>
      </c>
      <c r="J522" t="n">
        <v>35</v>
      </c>
      <c r="K522" t="n">
        <v>0</v>
      </c>
      <c r="L522" t="n">
        <v>28.92</v>
      </c>
      <c r="M522" t="n">
        <v>120</v>
      </c>
      <c r="N522" t="n">
        <v>120</v>
      </c>
      <c r="O522" t="n">
        <v>99.7</v>
      </c>
      <c r="P522" t="n">
        <v>3.21</v>
      </c>
    </row>
    <row r="523">
      <c r="A523" t="n">
        <v>827245</v>
      </c>
      <c r="B523" t="inlineStr">
        <is>
          <t>12-05-2026</t>
        </is>
      </c>
      <c r="C523" t="inlineStr">
        <is>
          <t>S58</t>
        </is>
      </c>
      <c r="D523" t="inlineStr">
        <is>
          <t>SKIDDER</t>
        </is>
      </c>
      <c r="E523" t="inlineStr">
        <is>
          <t>COIHUECO Y OTROS (BB)</t>
        </is>
      </c>
      <c r="F523" t="inlineStr">
        <is>
          <t>PIRA</t>
        </is>
      </c>
      <c r="G523" t="n">
        <v>720</v>
      </c>
      <c r="H523" t="n">
        <v>0</v>
      </c>
      <c r="I523" t="n">
        <v>9</v>
      </c>
      <c r="J523" t="n">
        <v>35</v>
      </c>
      <c r="K523" t="n">
        <v>0</v>
      </c>
      <c r="L523" t="n">
        <v>9.15</v>
      </c>
      <c r="M523" t="n">
        <v>120</v>
      </c>
      <c r="N523" t="n">
        <v>120</v>
      </c>
      <c r="O523" t="n">
        <v>99.7</v>
      </c>
      <c r="P523" t="n">
        <v>1.02</v>
      </c>
    </row>
    <row r="524">
      <c r="A524" t="n">
        <v>827245</v>
      </c>
      <c r="B524" t="inlineStr">
        <is>
          <t>12-05-2026</t>
        </is>
      </c>
      <c r="C524" t="inlineStr">
        <is>
          <t>S58</t>
        </is>
      </c>
      <c r="D524" t="inlineStr">
        <is>
          <t>SKIDDER</t>
        </is>
      </c>
      <c r="E524" t="inlineStr">
        <is>
          <t>COIHUECO Y OTROS (BB)</t>
        </is>
      </c>
      <c r="F524" t="inlineStr">
        <is>
          <t>PIRA</t>
        </is>
      </c>
      <c r="G524" t="n">
        <v>720</v>
      </c>
      <c r="H524" t="n">
        <v>0</v>
      </c>
      <c r="I524" t="n">
        <v>9</v>
      </c>
      <c r="J524" t="n">
        <v>35</v>
      </c>
      <c r="K524" t="n">
        <v>0</v>
      </c>
      <c r="L524" t="n">
        <v>14.23</v>
      </c>
      <c r="M524" t="n">
        <v>120</v>
      </c>
      <c r="N524" t="n">
        <v>120</v>
      </c>
      <c r="O524" t="n">
        <v>99.7</v>
      </c>
      <c r="P524" t="n">
        <v>1.58</v>
      </c>
    </row>
    <row r="525">
      <c r="A525" t="n">
        <v>827256</v>
      </c>
      <c r="B525" t="inlineStr">
        <is>
          <t>12-05-2026</t>
        </is>
      </c>
      <c r="C525" t="inlineStr">
        <is>
          <t>S246</t>
        </is>
      </c>
      <c r="D525" t="inlineStr">
        <is>
          <t>SKIDDER</t>
        </is>
      </c>
      <c r="E525" t="inlineStr">
        <is>
          <t>LAS MERCEDES C13</t>
        </is>
      </c>
      <c r="F525" t="inlineStr">
        <is>
          <t>PIRA</t>
        </is>
      </c>
      <c r="G525" t="n">
        <v>720</v>
      </c>
      <c r="H525" t="n">
        <v>0</v>
      </c>
      <c r="I525" t="n">
        <v>4</v>
      </c>
      <c r="J525" t="n">
        <v>66</v>
      </c>
      <c r="K525" t="n">
        <v>0</v>
      </c>
      <c r="L525" t="n">
        <v>64.47</v>
      </c>
      <c r="M525" t="n">
        <v>0</v>
      </c>
      <c r="N525" t="n">
        <v>420</v>
      </c>
      <c r="O525" t="n">
        <v>100</v>
      </c>
      <c r="P525" t="n">
        <v>16.12</v>
      </c>
    </row>
    <row r="526">
      <c r="A526" t="n">
        <v>827256</v>
      </c>
      <c r="B526" t="inlineStr">
        <is>
          <t>12-05-2026</t>
        </is>
      </c>
      <c r="C526" t="inlineStr">
        <is>
          <t>S246</t>
        </is>
      </c>
      <c r="D526" t="inlineStr">
        <is>
          <t>SKIDDER</t>
        </is>
      </c>
      <c r="E526" t="inlineStr">
        <is>
          <t>LAS MERCEDES C13</t>
        </is>
      </c>
      <c r="F526" t="inlineStr">
        <is>
          <t>PIRA</t>
        </is>
      </c>
      <c r="G526" t="n">
        <v>720</v>
      </c>
      <c r="H526" t="n">
        <v>0</v>
      </c>
      <c r="I526" t="n">
        <v>4</v>
      </c>
      <c r="J526" t="n">
        <v>66</v>
      </c>
      <c r="K526" t="n">
        <v>0</v>
      </c>
      <c r="L526" t="n">
        <v>24.7</v>
      </c>
      <c r="M526" t="n">
        <v>0</v>
      </c>
      <c r="N526" t="n">
        <v>420</v>
      </c>
      <c r="O526" t="n">
        <v>100</v>
      </c>
      <c r="P526" t="n">
        <v>6.18</v>
      </c>
    </row>
    <row r="527">
      <c r="A527" t="n">
        <v>827271</v>
      </c>
      <c r="B527" t="inlineStr">
        <is>
          <t>12-05-2026</t>
        </is>
      </c>
      <c r="C527" t="inlineStr">
        <is>
          <t>TEA08</t>
        </is>
      </c>
      <c r="D527" t="inlineStr">
        <is>
          <t>FORWINCH</t>
        </is>
      </c>
      <c r="E527" t="inlineStr">
        <is>
          <t>COIHUECO Y OTROS (BB)</t>
        </is>
      </c>
      <c r="F527" t="inlineStr">
        <is>
          <t>PIRA</t>
        </is>
      </c>
      <c r="G527" t="n">
        <v>720</v>
      </c>
      <c r="H527" t="n">
        <v>0</v>
      </c>
      <c r="I527" t="n">
        <v>4.5</v>
      </c>
      <c r="J527" t="n">
        <v>18</v>
      </c>
      <c r="K527" t="n">
        <v>0</v>
      </c>
      <c r="L527" t="n">
        <v>3.02</v>
      </c>
      <c r="M527" t="n">
        <v>390</v>
      </c>
      <c r="N527" t="n">
        <v>390</v>
      </c>
      <c r="O527" t="n">
        <v>99.09999999999999</v>
      </c>
      <c r="P527" t="n">
        <v>0.67</v>
      </c>
    </row>
    <row r="528">
      <c r="A528" t="n">
        <v>827271</v>
      </c>
      <c r="B528" t="inlineStr">
        <is>
          <t>12-05-2026</t>
        </is>
      </c>
      <c r="C528" t="inlineStr">
        <is>
          <t>TEA08</t>
        </is>
      </c>
      <c r="D528" t="inlineStr">
        <is>
          <t>FORWINCH</t>
        </is>
      </c>
      <c r="E528" t="inlineStr">
        <is>
          <t>COIHUECO Y OTROS (BB)</t>
        </is>
      </c>
      <c r="F528" t="inlineStr">
        <is>
          <t>PIRA</t>
        </is>
      </c>
      <c r="G528" t="n">
        <v>720</v>
      </c>
      <c r="H528" t="n">
        <v>0</v>
      </c>
      <c r="I528" t="n">
        <v>4.5</v>
      </c>
      <c r="J528" t="n">
        <v>18</v>
      </c>
      <c r="K528" t="n">
        <v>0</v>
      </c>
      <c r="L528" t="n">
        <v>8.92</v>
      </c>
      <c r="M528" t="n">
        <v>390</v>
      </c>
      <c r="N528" t="n">
        <v>390</v>
      </c>
      <c r="O528" t="n">
        <v>99.09999999999999</v>
      </c>
      <c r="P528" t="n">
        <v>1.98</v>
      </c>
    </row>
    <row r="529">
      <c r="A529" t="n">
        <v>827271</v>
      </c>
      <c r="B529" t="inlineStr">
        <is>
          <t>12-05-2026</t>
        </is>
      </c>
      <c r="C529" t="inlineStr">
        <is>
          <t>TEA08</t>
        </is>
      </c>
      <c r="D529" t="inlineStr">
        <is>
          <t>FORWINCH</t>
        </is>
      </c>
      <c r="E529" t="inlineStr">
        <is>
          <t>COIHUECO Y OTROS (BB)</t>
        </is>
      </c>
      <c r="F529" t="inlineStr">
        <is>
          <t>PIRA</t>
        </is>
      </c>
      <c r="G529" t="n">
        <v>720</v>
      </c>
      <c r="H529" t="n">
        <v>0</v>
      </c>
      <c r="I529" t="n">
        <v>4.5</v>
      </c>
      <c r="J529" t="n">
        <v>18</v>
      </c>
      <c r="K529" t="n">
        <v>0</v>
      </c>
      <c r="L529" t="n">
        <v>3.41</v>
      </c>
      <c r="M529" t="n">
        <v>390</v>
      </c>
      <c r="N529" t="n">
        <v>390</v>
      </c>
      <c r="O529" t="n">
        <v>99.09999999999999</v>
      </c>
      <c r="P529" t="n">
        <v>0.76</v>
      </c>
    </row>
    <row r="530">
      <c r="A530" t="n">
        <v>827271</v>
      </c>
      <c r="B530" t="inlineStr">
        <is>
          <t>12-05-2026</t>
        </is>
      </c>
      <c r="C530" t="inlineStr">
        <is>
          <t>TEA08</t>
        </is>
      </c>
      <c r="D530" t="inlineStr">
        <is>
          <t>FORWINCH</t>
        </is>
      </c>
      <c r="E530" t="inlineStr">
        <is>
          <t>COIHUECO Y OTROS (BB)</t>
        </is>
      </c>
      <c r="F530" t="inlineStr">
        <is>
          <t>PIRA</t>
        </is>
      </c>
      <c r="G530" t="n">
        <v>720</v>
      </c>
      <c r="H530" t="n">
        <v>0</v>
      </c>
      <c r="I530" t="n">
        <v>4.5</v>
      </c>
      <c r="J530" t="n">
        <v>18</v>
      </c>
      <c r="K530" t="n">
        <v>0</v>
      </c>
      <c r="L530" t="n">
        <v>11.3</v>
      </c>
      <c r="M530" t="n">
        <v>390</v>
      </c>
      <c r="N530" t="n">
        <v>390</v>
      </c>
      <c r="O530" t="n">
        <v>99.09999999999999</v>
      </c>
      <c r="P530" t="n">
        <v>2.51</v>
      </c>
    </row>
    <row r="531">
      <c r="A531" t="n">
        <v>827271</v>
      </c>
      <c r="B531" t="inlineStr">
        <is>
          <t>12-05-2026</t>
        </is>
      </c>
      <c r="C531" t="inlineStr">
        <is>
          <t>TEA08</t>
        </is>
      </c>
      <c r="D531" t="inlineStr">
        <is>
          <t>FORWINCH</t>
        </is>
      </c>
      <c r="E531" t="inlineStr">
        <is>
          <t>COIHUECO Y OTROS (BB)</t>
        </is>
      </c>
      <c r="F531" t="inlineStr">
        <is>
          <t>PIRA</t>
        </is>
      </c>
      <c r="G531" t="n">
        <v>720</v>
      </c>
      <c r="H531" t="n">
        <v>0</v>
      </c>
      <c r="I531" t="n">
        <v>4.5</v>
      </c>
      <c r="J531" t="n">
        <v>18</v>
      </c>
      <c r="K531" t="n">
        <v>0</v>
      </c>
      <c r="L531" t="n">
        <v>33.02</v>
      </c>
      <c r="M531" t="n">
        <v>390</v>
      </c>
      <c r="N531" t="n">
        <v>390</v>
      </c>
      <c r="O531" t="n">
        <v>99.09999999999999</v>
      </c>
      <c r="P531" t="n">
        <v>7.34</v>
      </c>
    </row>
    <row r="532">
      <c r="A532" t="n">
        <v>827271</v>
      </c>
      <c r="B532" t="inlineStr">
        <is>
          <t>12-05-2026</t>
        </is>
      </c>
      <c r="C532" t="inlineStr">
        <is>
          <t>TEA08</t>
        </is>
      </c>
      <c r="D532" t="inlineStr">
        <is>
          <t>FORWINCH</t>
        </is>
      </c>
      <c r="E532" t="inlineStr">
        <is>
          <t>COIHUECO Y OTROS (BB)</t>
        </is>
      </c>
      <c r="F532" t="inlineStr">
        <is>
          <t>PIRA</t>
        </is>
      </c>
      <c r="G532" t="n">
        <v>720</v>
      </c>
      <c r="H532" t="n">
        <v>0</v>
      </c>
      <c r="I532" t="n">
        <v>4.5</v>
      </c>
      <c r="J532" t="n">
        <v>18</v>
      </c>
      <c r="K532" t="n">
        <v>0</v>
      </c>
      <c r="L532" t="n">
        <v>12.95</v>
      </c>
      <c r="M532" t="n">
        <v>390</v>
      </c>
      <c r="N532" t="n">
        <v>390</v>
      </c>
      <c r="O532" t="n">
        <v>99.09999999999999</v>
      </c>
      <c r="P532" t="n">
        <v>2.88</v>
      </c>
    </row>
    <row r="533">
      <c r="A533" t="n">
        <v>827380</v>
      </c>
      <c r="B533" t="inlineStr">
        <is>
          <t>13-05-2026</t>
        </is>
      </c>
      <c r="C533" t="inlineStr">
        <is>
          <t>S223</t>
        </is>
      </c>
      <c r="D533" t="inlineStr">
        <is>
          <t>SKIDDER</t>
        </is>
      </c>
      <c r="E533" t="inlineStr">
        <is>
          <t>LAS ULLOAS (BB)</t>
        </is>
      </c>
      <c r="F533" t="inlineStr">
        <is>
          <t>PIRA</t>
        </is>
      </c>
      <c r="G533" t="n">
        <v>720</v>
      </c>
      <c r="H533" t="n">
        <v>0</v>
      </c>
      <c r="I533" t="n">
        <v>3</v>
      </c>
      <c r="J533" t="n">
        <v>15</v>
      </c>
      <c r="K533" t="n">
        <v>0</v>
      </c>
      <c r="L533" t="n">
        <v>6.5</v>
      </c>
      <c r="M533" t="n">
        <v>480</v>
      </c>
      <c r="N533" t="n">
        <v>480</v>
      </c>
      <c r="O533" t="n">
        <v>98.90000000000001</v>
      </c>
      <c r="P533" t="n">
        <v>2.17</v>
      </c>
    </row>
    <row r="534">
      <c r="A534" t="n">
        <v>827380</v>
      </c>
      <c r="B534" t="inlineStr">
        <is>
          <t>13-05-2026</t>
        </is>
      </c>
      <c r="C534" t="inlineStr">
        <is>
          <t>S223</t>
        </is>
      </c>
      <c r="D534" t="inlineStr">
        <is>
          <t>SKIDDER</t>
        </is>
      </c>
      <c r="E534" t="inlineStr">
        <is>
          <t>LAS ULLOAS (BB)</t>
        </is>
      </c>
      <c r="F534" t="inlineStr">
        <is>
          <t>PIRA</t>
        </is>
      </c>
      <c r="G534" t="n">
        <v>720</v>
      </c>
      <c r="H534" t="n">
        <v>0</v>
      </c>
      <c r="I534" t="n">
        <v>3</v>
      </c>
      <c r="J534" t="n">
        <v>15</v>
      </c>
      <c r="K534" t="n">
        <v>0</v>
      </c>
      <c r="L534" t="n">
        <v>8.35</v>
      </c>
      <c r="M534" t="n">
        <v>480</v>
      </c>
      <c r="N534" t="n">
        <v>480</v>
      </c>
      <c r="O534" t="n">
        <v>98.90000000000001</v>
      </c>
      <c r="P534" t="n">
        <v>2.78</v>
      </c>
    </row>
    <row r="535">
      <c r="A535" t="n">
        <v>827380</v>
      </c>
      <c r="B535" t="inlineStr">
        <is>
          <t>13-05-2026</t>
        </is>
      </c>
      <c r="C535" t="inlineStr">
        <is>
          <t>S223</t>
        </is>
      </c>
      <c r="D535" t="inlineStr">
        <is>
          <t>SKIDDER</t>
        </is>
      </c>
      <c r="E535" t="inlineStr">
        <is>
          <t>LAS ULLOAS (BB)</t>
        </is>
      </c>
      <c r="F535" t="inlineStr">
        <is>
          <t>PIRA</t>
        </is>
      </c>
      <c r="G535" t="n">
        <v>720</v>
      </c>
      <c r="H535" t="n">
        <v>0</v>
      </c>
      <c r="I535" t="n">
        <v>3</v>
      </c>
      <c r="J535" t="n">
        <v>15</v>
      </c>
      <c r="K535" t="n">
        <v>0</v>
      </c>
      <c r="L535" t="n">
        <v>23.37</v>
      </c>
      <c r="M535" t="n">
        <v>480</v>
      </c>
      <c r="N535" t="n">
        <v>480</v>
      </c>
      <c r="O535" t="n">
        <v>98.90000000000001</v>
      </c>
      <c r="P535" t="n">
        <v>7.79</v>
      </c>
    </row>
    <row r="536">
      <c r="A536" t="n">
        <v>827380</v>
      </c>
      <c r="B536" t="inlineStr">
        <is>
          <t>13-05-2026</t>
        </is>
      </c>
      <c r="C536" t="inlineStr">
        <is>
          <t>S223</t>
        </is>
      </c>
      <c r="D536" t="inlineStr">
        <is>
          <t>SKIDDER</t>
        </is>
      </c>
      <c r="E536" t="inlineStr">
        <is>
          <t>LAS ULLOAS (BB)</t>
        </is>
      </c>
      <c r="F536" t="inlineStr">
        <is>
          <t>PIRA</t>
        </is>
      </c>
      <c r="G536" t="n">
        <v>720</v>
      </c>
      <c r="H536" t="n">
        <v>0</v>
      </c>
      <c r="I536" t="n">
        <v>3</v>
      </c>
      <c r="J536" t="n">
        <v>15</v>
      </c>
      <c r="K536" t="n">
        <v>0</v>
      </c>
      <c r="L536" t="n">
        <v>32.34</v>
      </c>
      <c r="M536" t="n">
        <v>480</v>
      </c>
      <c r="N536" t="n">
        <v>480</v>
      </c>
      <c r="O536" t="n">
        <v>98.90000000000001</v>
      </c>
      <c r="P536" t="n">
        <v>10.78</v>
      </c>
    </row>
    <row r="537">
      <c r="A537" t="n">
        <v>827381</v>
      </c>
      <c r="B537" t="inlineStr">
        <is>
          <t>13-05-2026</t>
        </is>
      </c>
      <c r="C537" t="inlineStr">
        <is>
          <t>MG5</t>
        </is>
      </c>
      <c r="D537" t="inlineStr">
        <is>
          <t>GRAPPLE</t>
        </is>
      </c>
      <c r="E537" t="inlineStr">
        <is>
          <t>CE-27 ESPINALILLO YBAR</t>
        </is>
      </c>
      <c r="F537" t="inlineStr">
        <is>
          <t>PIRA</t>
        </is>
      </c>
      <c r="G537" t="n">
        <v>720</v>
      </c>
      <c r="H537" t="n">
        <v>0</v>
      </c>
      <c r="I537" t="n">
        <v>10.5</v>
      </c>
      <c r="J537" t="n">
        <v>65</v>
      </c>
      <c r="K537" t="n">
        <v>0</v>
      </c>
      <c r="L537" t="n">
        <v>4.58</v>
      </c>
      <c r="M537" t="n">
        <v>0</v>
      </c>
      <c r="N537" t="n">
        <v>30</v>
      </c>
      <c r="O537" t="n">
        <v>100</v>
      </c>
      <c r="P537" t="n">
        <v>0.44</v>
      </c>
    </row>
    <row r="538">
      <c r="A538" t="n">
        <v>827381</v>
      </c>
      <c r="B538" t="inlineStr">
        <is>
          <t>13-05-2026</t>
        </is>
      </c>
      <c r="C538" t="inlineStr">
        <is>
          <t>MG5</t>
        </is>
      </c>
      <c r="D538" t="inlineStr">
        <is>
          <t>GRAPPLE</t>
        </is>
      </c>
      <c r="E538" t="inlineStr">
        <is>
          <t>CE-27 ESPINALILLO YBAR</t>
        </is>
      </c>
      <c r="F538" t="inlineStr">
        <is>
          <t>PIRA</t>
        </is>
      </c>
      <c r="G538" t="n">
        <v>720</v>
      </c>
      <c r="H538" t="n">
        <v>0</v>
      </c>
      <c r="I538" t="n">
        <v>10.5</v>
      </c>
      <c r="J538" t="n">
        <v>65</v>
      </c>
      <c r="K538" t="n">
        <v>0</v>
      </c>
      <c r="L538" t="n">
        <v>54.62</v>
      </c>
      <c r="M538" t="n">
        <v>0</v>
      </c>
      <c r="N538" t="n">
        <v>30</v>
      </c>
      <c r="O538" t="n">
        <v>100</v>
      </c>
      <c r="P538" t="n">
        <v>5.2</v>
      </c>
    </row>
    <row r="539">
      <c r="A539" t="n">
        <v>827381</v>
      </c>
      <c r="B539" t="inlineStr">
        <is>
          <t>13-05-2026</t>
        </is>
      </c>
      <c r="C539" t="inlineStr">
        <is>
          <t>MG5</t>
        </is>
      </c>
      <c r="D539" t="inlineStr">
        <is>
          <t>GRAPPLE</t>
        </is>
      </c>
      <c r="E539" t="inlineStr">
        <is>
          <t>CE-27 ESPINALILLO YBAR</t>
        </is>
      </c>
      <c r="F539" t="inlineStr">
        <is>
          <t>PIRA</t>
        </is>
      </c>
      <c r="G539" t="n">
        <v>720</v>
      </c>
      <c r="H539" t="n">
        <v>0</v>
      </c>
      <c r="I539" t="n">
        <v>10.5</v>
      </c>
      <c r="J539" t="n">
        <v>65</v>
      </c>
      <c r="K539" t="n">
        <v>0</v>
      </c>
      <c r="L539" t="n">
        <v>95.81</v>
      </c>
      <c r="M539" t="n">
        <v>0</v>
      </c>
      <c r="N539" t="n">
        <v>30</v>
      </c>
      <c r="O539" t="n">
        <v>100</v>
      </c>
      <c r="P539" t="n">
        <v>9.119999999999999</v>
      </c>
    </row>
    <row r="540">
      <c r="A540" t="n">
        <v>827384</v>
      </c>
      <c r="B540" t="inlineStr">
        <is>
          <t>13-05-2026</t>
        </is>
      </c>
      <c r="C540" t="inlineStr">
        <is>
          <t>S123</t>
        </is>
      </c>
      <c r="D540" t="inlineStr">
        <is>
          <t>SKIDDER</t>
        </is>
      </c>
      <c r="E540" t="inlineStr">
        <is>
          <t>QUIRIQUINO</t>
        </is>
      </c>
      <c r="F540" t="inlineStr">
        <is>
          <t>PIRA</t>
        </is>
      </c>
      <c r="G540" t="n">
        <v>720</v>
      </c>
      <c r="H540" t="n">
        <v>0</v>
      </c>
      <c r="I540" t="n">
        <v>1</v>
      </c>
      <c r="J540" t="n">
        <v>9</v>
      </c>
      <c r="K540" t="n">
        <v>0</v>
      </c>
      <c r="L540" t="n">
        <v>5.04</v>
      </c>
      <c r="M540" t="n">
        <v>0</v>
      </c>
      <c r="N540" t="n">
        <v>600</v>
      </c>
      <c r="O540" t="n">
        <v>100</v>
      </c>
      <c r="P540" t="n">
        <v>5.04</v>
      </c>
    </row>
    <row r="541">
      <c r="A541" t="n">
        <v>827384</v>
      </c>
      <c r="B541" t="inlineStr">
        <is>
          <t>13-05-2026</t>
        </is>
      </c>
      <c r="C541" t="inlineStr">
        <is>
          <t>S123</t>
        </is>
      </c>
      <c r="D541" t="inlineStr">
        <is>
          <t>SKIDDER</t>
        </is>
      </c>
      <c r="E541" t="inlineStr">
        <is>
          <t>QUIRIQUINO</t>
        </is>
      </c>
      <c r="F541" t="inlineStr">
        <is>
          <t>PIRA</t>
        </is>
      </c>
      <c r="G541" t="n">
        <v>720</v>
      </c>
      <c r="H541" t="n">
        <v>0</v>
      </c>
      <c r="I541" t="n">
        <v>1</v>
      </c>
      <c r="J541" t="n">
        <v>9</v>
      </c>
      <c r="K541" t="n">
        <v>0</v>
      </c>
      <c r="L541" t="n">
        <v>6.05</v>
      </c>
      <c r="M541" t="n">
        <v>0</v>
      </c>
      <c r="N541" t="n">
        <v>600</v>
      </c>
      <c r="O541" t="n">
        <v>100</v>
      </c>
      <c r="P541" t="n">
        <v>6.05</v>
      </c>
    </row>
    <row r="542">
      <c r="A542" t="n">
        <v>827384</v>
      </c>
      <c r="B542" t="inlineStr">
        <is>
          <t>13-05-2026</t>
        </is>
      </c>
      <c r="C542" t="inlineStr">
        <is>
          <t>S123</t>
        </is>
      </c>
      <c r="D542" t="inlineStr">
        <is>
          <t>SKIDDER</t>
        </is>
      </c>
      <c r="E542" t="inlineStr">
        <is>
          <t>QUIRIQUINO</t>
        </is>
      </c>
      <c r="F542" t="inlineStr">
        <is>
          <t>PIRA</t>
        </is>
      </c>
      <c r="G542" t="n">
        <v>720</v>
      </c>
      <c r="H542" t="n">
        <v>0</v>
      </c>
      <c r="I542" t="n">
        <v>1</v>
      </c>
      <c r="J542" t="n">
        <v>9</v>
      </c>
      <c r="K542" t="n">
        <v>0</v>
      </c>
      <c r="L542" t="n">
        <v>20.9</v>
      </c>
      <c r="M542" t="n">
        <v>0</v>
      </c>
      <c r="N542" t="n">
        <v>600</v>
      </c>
      <c r="O542" t="n">
        <v>100</v>
      </c>
      <c r="P542" t="n">
        <v>20.9</v>
      </c>
    </row>
    <row r="543">
      <c r="A543" t="n">
        <v>827387</v>
      </c>
      <c r="B543" t="inlineStr">
        <is>
          <t>13-05-2026</t>
        </is>
      </c>
      <c r="C543" t="inlineStr">
        <is>
          <t>S58</t>
        </is>
      </c>
      <c r="D543" t="inlineStr">
        <is>
          <t>SKIDDER</t>
        </is>
      </c>
      <c r="E543" t="inlineStr">
        <is>
          <t>COIHUECO Y OTROS (BB)</t>
        </is>
      </c>
      <c r="F543" t="inlineStr">
        <is>
          <t>PIRA</t>
        </is>
      </c>
      <c r="G543" t="n">
        <v>720</v>
      </c>
      <c r="H543" t="n">
        <v>0</v>
      </c>
      <c r="I543" t="n">
        <v>8</v>
      </c>
      <c r="J543" t="n">
        <v>30</v>
      </c>
      <c r="K543" t="n">
        <v>0</v>
      </c>
      <c r="L543" t="n">
        <v>15.96</v>
      </c>
      <c r="M543" t="n">
        <v>0</v>
      </c>
      <c r="N543" t="n">
        <v>180</v>
      </c>
      <c r="O543" t="n">
        <v>100</v>
      </c>
      <c r="P543" t="n">
        <v>2</v>
      </c>
    </row>
    <row r="544">
      <c r="A544" t="n">
        <v>827387</v>
      </c>
      <c r="B544" t="inlineStr">
        <is>
          <t>13-05-2026</t>
        </is>
      </c>
      <c r="C544" t="inlineStr">
        <is>
          <t>S58</t>
        </is>
      </c>
      <c r="D544" t="inlineStr">
        <is>
          <t>SKIDDER</t>
        </is>
      </c>
      <c r="E544" t="inlineStr">
        <is>
          <t>COIHUECO Y OTROS (BB)</t>
        </is>
      </c>
      <c r="F544" t="inlineStr">
        <is>
          <t>PIRA</t>
        </is>
      </c>
      <c r="G544" t="n">
        <v>720</v>
      </c>
      <c r="H544" t="n">
        <v>0</v>
      </c>
      <c r="I544" t="n">
        <v>8</v>
      </c>
      <c r="J544" t="n">
        <v>30</v>
      </c>
      <c r="K544" t="n">
        <v>0</v>
      </c>
      <c r="L544" t="n">
        <v>7.98</v>
      </c>
      <c r="M544" t="n">
        <v>0</v>
      </c>
      <c r="N544" t="n">
        <v>180</v>
      </c>
      <c r="O544" t="n">
        <v>100</v>
      </c>
      <c r="P544" t="n">
        <v>1</v>
      </c>
    </row>
    <row r="545">
      <c r="A545" t="n">
        <v>827387</v>
      </c>
      <c r="B545" t="inlineStr">
        <is>
          <t>13-05-2026</t>
        </is>
      </c>
      <c r="C545" t="inlineStr">
        <is>
          <t>S58</t>
        </is>
      </c>
      <c r="D545" t="inlineStr">
        <is>
          <t>SKIDDER</t>
        </is>
      </c>
      <c r="E545" t="inlineStr">
        <is>
          <t>COIHUECO Y OTROS (BB)</t>
        </is>
      </c>
      <c r="F545" t="inlineStr">
        <is>
          <t>PIRA</t>
        </is>
      </c>
      <c r="G545" t="n">
        <v>720</v>
      </c>
      <c r="H545" t="n">
        <v>0</v>
      </c>
      <c r="I545" t="n">
        <v>8</v>
      </c>
      <c r="J545" t="n">
        <v>30</v>
      </c>
      <c r="K545" t="n">
        <v>0</v>
      </c>
      <c r="L545" t="n">
        <v>12.84</v>
      </c>
      <c r="M545" t="n">
        <v>0</v>
      </c>
      <c r="N545" t="n">
        <v>180</v>
      </c>
      <c r="O545" t="n">
        <v>100</v>
      </c>
      <c r="P545" t="n">
        <v>1.6</v>
      </c>
    </row>
    <row r="546">
      <c r="A546" t="n">
        <v>827387</v>
      </c>
      <c r="B546" t="inlineStr">
        <is>
          <t>13-05-2026</t>
        </is>
      </c>
      <c r="C546" t="inlineStr">
        <is>
          <t>S58</t>
        </is>
      </c>
      <c r="D546" t="inlineStr">
        <is>
          <t>SKIDDER</t>
        </is>
      </c>
      <c r="E546" t="inlineStr">
        <is>
          <t>COIHUECO Y OTROS (BB)</t>
        </is>
      </c>
      <c r="F546" t="inlineStr">
        <is>
          <t>PIRA</t>
        </is>
      </c>
      <c r="G546" t="n">
        <v>720</v>
      </c>
      <c r="H546" t="n">
        <v>0</v>
      </c>
      <c r="I546" t="n">
        <v>8</v>
      </c>
      <c r="J546" t="n">
        <v>30</v>
      </c>
      <c r="K546" t="n">
        <v>0</v>
      </c>
      <c r="L546" t="n">
        <v>26.32</v>
      </c>
      <c r="M546" t="n">
        <v>0</v>
      </c>
      <c r="N546" t="n">
        <v>180</v>
      </c>
      <c r="O546" t="n">
        <v>100</v>
      </c>
      <c r="P546" t="n">
        <v>3.29</v>
      </c>
    </row>
    <row r="547">
      <c r="A547" t="n">
        <v>827387</v>
      </c>
      <c r="B547" t="inlineStr">
        <is>
          <t>13-05-2026</t>
        </is>
      </c>
      <c r="C547" t="inlineStr">
        <is>
          <t>S58</t>
        </is>
      </c>
      <c r="D547" t="inlineStr">
        <is>
          <t>SKIDDER</t>
        </is>
      </c>
      <c r="E547" t="inlineStr">
        <is>
          <t>COIHUECO Y OTROS (BB)</t>
        </is>
      </c>
      <c r="F547" t="inlineStr">
        <is>
          <t>PIRA</t>
        </is>
      </c>
      <c r="G547" t="n">
        <v>720</v>
      </c>
      <c r="H547" t="n">
        <v>0</v>
      </c>
      <c r="I547" t="n">
        <v>8</v>
      </c>
      <c r="J547" t="n">
        <v>30</v>
      </c>
      <c r="K547" t="n">
        <v>0</v>
      </c>
      <c r="L547" t="n">
        <v>10.03</v>
      </c>
      <c r="M547" t="n">
        <v>0</v>
      </c>
      <c r="N547" t="n">
        <v>180</v>
      </c>
      <c r="O547" t="n">
        <v>100</v>
      </c>
      <c r="P547" t="n">
        <v>1.25</v>
      </c>
    </row>
    <row r="548">
      <c r="A548" t="n">
        <v>827387</v>
      </c>
      <c r="B548" t="inlineStr">
        <is>
          <t>13-05-2026</t>
        </is>
      </c>
      <c r="C548" t="inlineStr">
        <is>
          <t>S58</t>
        </is>
      </c>
      <c r="D548" t="inlineStr">
        <is>
          <t>SKIDDER</t>
        </is>
      </c>
      <c r="E548" t="inlineStr">
        <is>
          <t>COIHUECO Y OTROS (BB)</t>
        </is>
      </c>
      <c r="F548" t="inlineStr">
        <is>
          <t>PIRA</t>
        </is>
      </c>
      <c r="G548" t="n">
        <v>720</v>
      </c>
      <c r="H548" t="n">
        <v>0</v>
      </c>
      <c r="I548" t="n">
        <v>8</v>
      </c>
      <c r="J548" t="n">
        <v>30</v>
      </c>
      <c r="K548" t="n">
        <v>0</v>
      </c>
      <c r="L548" t="n">
        <v>41.83</v>
      </c>
      <c r="M548" t="n">
        <v>0</v>
      </c>
      <c r="N548" t="n">
        <v>180</v>
      </c>
      <c r="O548" t="n">
        <v>100</v>
      </c>
      <c r="P548" t="n">
        <v>5.23</v>
      </c>
    </row>
    <row r="549">
      <c r="A549" t="n">
        <v>827387</v>
      </c>
      <c r="B549" t="inlineStr">
        <is>
          <t>13-05-2026</t>
        </is>
      </c>
      <c r="C549" t="inlineStr">
        <is>
          <t>S58</t>
        </is>
      </c>
      <c r="D549" t="inlineStr">
        <is>
          <t>SKIDDER</t>
        </is>
      </c>
      <c r="E549" t="inlineStr">
        <is>
          <t>COIHUECO Y OTROS (BB)</t>
        </is>
      </c>
      <c r="F549" t="inlineStr">
        <is>
          <t>PIRA</t>
        </is>
      </c>
      <c r="G549" t="n">
        <v>720</v>
      </c>
      <c r="H549" t="n">
        <v>0</v>
      </c>
      <c r="I549" t="n">
        <v>8</v>
      </c>
      <c r="J549" t="n">
        <v>30</v>
      </c>
      <c r="K549" t="n">
        <v>0</v>
      </c>
      <c r="L549" t="n">
        <v>7.38</v>
      </c>
      <c r="M549" t="n">
        <v>0</v>
      </c>
      <c r="N549" t="n">
        <v>180</v>
      </c>
      <c r="O549" t="n">
        <v>100</v>
      </c>
      <c r="P549" t="n">
        <v>0.92</v>
      </c>
    </row>
    <row r="550">
      <c r="A550" t="n">
        <v>827387</v>
      </c>
      <c r="B550" t="inlineStr">
        <is>
          <t>13-05-2026</t>
        </is>
      </c>
      <c r="C550" t="inlineStr">
        <is>
          <t>S58</t>
        </is>
      </c>
      <c r="D550" t="inlineStr">
        <is>
          <t>SKIDDER</t>
        </is>
      </c>
      <c r="E550" t="inlineStr">
        <is>
          <t>COIHUECO Y OTROS (BB)</t>
        </is>
      </c>
      <c r="F550" t="inlineStr">
        <is>
          <t>PIRA</t>
        </is>
      </c>
      <c r="G550" t="n">
        <v>720</v>
      </c>
      <c r="H550" t="n">
        <v>0</v>
      </c>
      <c r="I550" t="n">
        <v>8</v>
      </c>
      <c r="J550" t="n">
        <v>30</v>
      </c>
      <c r="K550" t="n">
        <v>0</v>
      </c>
      <c r="L550" t="n">
        <v>13.66</v>
      </c>
      <c r="M550" t="n">
        <v>0</v>
      </c>
      <c r="N550" t="n">
        <v>180</v>
      </c>
      <c r="O550" t="n">
        <v>100</v>
      </c>
      <c r="P550" t="n">
        <v>1.71</v>
      </c>
    </row>
    <row r="551">
      <c r="A551" t="n">
        <v>827387</v>
      </c>
      <c r="B551" t="inlineStr">
        <is>
          <t>13-05-2026</t>
        </is>
      </c>
      <c r="C551" t="inlineStr">
        <is>
          <t>S58</t>
        </is>
      </c>
      <c r="D551" t="inlineStr">
        <is>
          <t>SKIDDER</t>
        </is>
      </c>
      <c r="E551" t="inlineStr">
        <is>
          <t>COIHUECO Y OTROS (BB)</t>
        </is>
      </c>
      <c r="F551" t="inlineStr">
        <is>
          <t>PIRA</t>
        </is>
      </c>
      <c r="G551" t="n">
        <v>720</v>
      </c>
      <c r="H551" t="n">
        <v>0</v>
      </c>
      <c r="I551" t="n">
        <v>8</v>
      </c>
      <c r="J551" t="n">
        <v>30</v>
      </c>
      <c r="K551" t="n">
        <v>0</v>
      </c>
      <c r="L551" t="n">
        <v>9.23</v>
      </c>
      <c r="M551" t="n">
        <v>0</v>
      </c>
      <c r="N551" t="n">
        <v>180</v>
      </c>
      <c r="O551" t="n">
        <v>100</v>
      </c>
      <c r="P551" t="n">
        <v>1.15</v>
      </c>
    </row>
    <row r="552">
      <c r="A552" t="n">
        <v>827388</v>
      </c>
      <c r="B552" t="inlineStr">
        <is>
          <t>13-05-2026</t>
        </is>
      </c>
      <c r="C552" t="inlineStr">
        <is>
          <t>T125</t>
        </is>
      </c>
      <c r="D552" t="inlineStr">
        <is>
          <t>TORRE500</t>
        </is>
      </c>
      <c r="E552" t="inlineStr">
        <is>
          <t>POLHUIN</t>
        </is>
      </c>
      <c r="F552" t="inlineStr">
        <is>
          <t>EUGL</t>
        </is>
      </c>
      <c r="G552" t="n">
        <v>720</v>
      </c>
      <c r="H552" t="n">
        <v>0</v>
      </c>
      <c r="I552" t="n">
        <v>8.5</v>
      </c>
      <c r="J552" t="n">
        <v>84</v>
      </c>
      <c r="K552" t="n">
        <v>0</v>
      </c>
      <c r="L552" t="n">
        <v>3.24</v>
      </c>
      <c r="M552" t="n">
        <v>0</v>
      </c>
      <c r="N552" t="n">
        <v>150</v>
      </c>
      <c r="O552" t="n">
        <v>100</v>
      </c>
      <c r="P552" t="n">
        <v>0.38</v>
      </c>
    </row>
    <row r="553">
      <c r="A553" t="n">
        <v>827388</v>
      </c>
      <c r="B553" t="inlineStr">
        <is>
          <t>13-05-2026</t>
        </is>
      </c>
      <c r="C553" t="inlineStr">
        <is>
          <t>T125</t>
        </is>
      </c>
      <c r="D553" t="inlineStr">
        <is>
          <t>TORRE500</t>
        </is>
      </c>
      <c r="E553" t="inlineStr">
        <is>
          <t>POLHUIN</t>
        </is>
      </c>
      <c r="F553" t="inlineStr">
        <is>
          <t>EUGL</t>
        </is>
      </c>
      <c r="G553" t="n">
        <v>720</v>
      </c>
      <c r="H553" t="n">
        <v>0</v>
      </c>
      <c r="I553" t="n">
        <v>8.5</v>
      </c>
      <c r="J553" t="n">
        <v>84</v>
      </c>
      <c r="K553" t="n">
        <v>0</v>
      </c>
      <c r="L553" t="n">
        <v>125.06</v>
      </c>
      <c r="M553" t="n">
        <v>0</v>
      </c>
      <c r="N553" t="n">
        <v>150</v>
      </c>
      <c r="O553" t="n">
        <v>100</v>
      </c>
      <c r="P553" t="n">
        <v>14.71</v>
      </c>
    </row>
    <row r="554">
      <c r="A554" t="n">
        <v>827396</v>
      </c>
      <c r="B554" t="inlineStr">
        <is>
          <t>13-05-2026</t>
        </is>
      </c>
      <c r="C554" t="inlineStr">
        <is>
          <t>S246</t>
        </is>
      </c>
      <c r="D554" t="inlineStr">
        <is>
          <t>SKIDDER</t>
        </is>
      </c>
      <c r="E554" t="inlineStr">
        <is>
          <t>LAS MERCEDES C13</t>
        </is>
      </c>
      <c r="F554" t="inlineStr">
        <is>
          <t>PIRA</t>
        </is>
      </c>
      <c r="G554" t="n">
        <v>720</v>
      </c>
      <c r="H554" t="n">
        <v>0</v>
      </c>
      <c r="I554" t="n">
        <v>8</v>
      </c>
      <c r="J554" t="n">
        <v>98</v>
      </c>
      <c r="K554" t="n">
        <v>0</v>
      </c>
      <c r="L554" t="n">
        <v>94.78</v>
      </c>
      <c r="M554" t="n">
        <v>180</v>
      </c>
      <c r="N554" t="n">
        <v>180</v>
      </c>
      <c r="O554" t="n">
        <v>99.59999999999999</v>
      </c>
      <c r="P554" t="n">
        <v>11.85</v>
      </c>
    </row>
    <row r="555">
      <c r="A555" t="n">
        <v>827396</v>
      </c>
      <c r="B555" t="inlineStr">
        <is>
          <t>13-05-2026</t>
        </is>
      </c>
      <c r="C555" t="inlineStr">
        <is>
          <t>S246</t>
        </is>
      </c>
      <c r="D555" t="inlineStr">
        <is>
          <t>SKIDDER</t>
        </is>
      </c>
      <c r="E555" t="inlineStr">
        <is>
          <t>LAS MERCEDES C13</t>
        </is>
      </c>
      <c r="F555" t="inlineStr">
        <is>
          <t>PIRA</t>
        </is>
      </c>
      <c r="G555" t="n">
        <v>720</v>
      </c>
      <c r="H555" t="n">
        <v>0</v>
      </c>
      <c r="I555" t="n">
        <v>8</v>
      </c>
      <c r="J555" t="n">
        <v>98</v>
      </c>
      <c r="K555" t="n">
        <v>0</v>
      </c>
      <c r="L555" t="n">
        <v>51.3</v>
      </c>
      <c r="M555" t="n">
        <v>180</v>
      </c>
      <c r="N555" t="n">
        <v>180</v>
      </c>
      <c r="O555" t="n">
        <v>99.59999999999999</v>
      </c>
      <c r="P555" t="n">
        <v>6.41</v>
      </c>
    </row>
    <row r="556">
      <c r="A556" t="n">
        <v>827407</v>
      </c>
      <c r="B556" t="inlineStr">
        <is>
          <t>13-05-2026</t>
        </is>
      </c>
      <c r="C556" t="inlineStr">
        <is>
          <t>TEA08</t>
        </is>
      </c>
      <c r="D556" t="inlineStr">
        <is>
          <t>FORWINCH</t>
        </is>
      </c>
      <c r="E556" t="inlineStr">
        <is>
          <t>COIHUECO Y OTROS (BB)</t>
        </is>
      </c>
      <c r="F556" t="inlineStr">
        <is>
          <t>PIRA</t>
        </is>
      </c>
      <c r="G556" t="n">
        <v>720</v>
      </c>
      <c r="H556" t="n">
        <v>0</v>
      </c>
      <c r="I556" t="n">
        <v>10</v>
      </c>
      <c r="J556" t="n">
        <v>52</v>
      </c>
      <c r="K556" t="n">
        <v>0</v>
      </c>
      <c r="L556" t="n">
        <v>19.15</v>
      </c>
      <c r="M556" t="n">
        <v>30</v>
      </c>
      <c r="N556" t="n">
        <v>60</v>
      </c>
      <c r="O556" t="n">
        <v>99.90000000000001</v>
      </c>
      <c r="P556" t="n">
        <v>1.92</v>
      </c>
    </row>
    <row r="557">
      <c r="A557" t="n">
        <v>827407</v>
      </c>
      <c r="B557" t="inlineStr">
        <is>
          <t>13-05-2026</t>
        </is>
      </c>
      <c r="C557" t="inlineStr">
        <is>
          <t>TEA08</t>
        </is>
      </c>
      <c r="D557" t="inlineStr">
        <is>
          <t>FORWINCH</t>
        </is>
      </c>
      <c r="E557" t="inlineStr">
        <is>
          <t>COIHUECO Y OTROS (BB)</t>
        </is>
      </c>
      <c r="F557" t="inlineStr">
        <is>
          <t>PIRA</t>
        </is>
      </c>
      <c r="G557" t="n">
        <v>720</v>
      </c>
      <c r="H557" t="n">
        <v>0</v>
      </c>
      <c r="I557" t="n">
        <v>10</v>
      </c>
      <c r="J557" t="n">
        <v>52</v>
      </c>
      <c r="K557" t="n">
        <v>0</v>
      </c>
      <c r="L557" t="n">
        <v>40.92</v>
      </c>
      <c r="M557" t="n">
        <v>30</v>
      </c>
      <c r="N557" t="n">
        <v>60</v>
      </c>
      <c r="O557" t="n">
        <v>99.90000000000001</v>
      </c>
      <c r="P557" t="n">
        <v>4.09</v>
      </c>
    </row>
    <row r="558">
      <c r="A558" t="n">
        <v>827407</v>
      </c>
      <c r="B558" t="inlineStr">
        <is>
          <t>13-05-2026</t>
        </is>
      </c>
      <c r="C558" t="inlineStr">
        <is>
          <t>TEA08</t>
        </is>
      </c>
      <c r="D558" t="inlineStr">
        <is>
          <t>FORWINCH</t>
        </is>
      </c>
      <c r="E558" t="inlineStr">
        <is>
          <t>COIHUECO Y OTROS (BB)</t>
        </is>
      </c>
      <c r="F558" t="inlineStr">
        <is>
          <t>PIRA</t>
        </is>
      </c>
      <c r="G558" t="n">
        <v>720</v>
      </c>
      <c r="H558" t="n">
        <v>0</v>
      </c>
      <c r="I558" t="n">
        <v>10</v>
      </c>
      <c r="J558" t="n">
        <v>52</v>
      </c>
      <c r="K558" t="n">
        <v>0</v>
      </c>
      <c r="L558" t="n">
        <v>87.92</v>
      </c>
      <c r="M558" t="n">
        <v>30</v>
      </c>
      <c r="N558" t="n">
        <v>60</v>
      </c>
      <c r="O558" t="n">
        <v>99.90000000000001</v>
      </c>
      <c r="P558" t="n">
        <v>8.789999999999999</v>
      </c>
    </row>
    <row r="559">
      <c r="A559" t="n">
        <v>827407</v>
      </c>
      <c r="B559" t="inlineStr">
        <is>
          <t>13-05-2026</t>
        </is>
      </c>
      <c r="C559" t="inlineStr">
        <is>
          <t>TEA08</t>
        </is>
      </c>
      <c r="D559" t="inlineStr">
        <is>
          <t>FORWINCH</t>
        </is>
      </c>
      <c r="E559" t="inlineStr">
        <is>
          <t>COIHUECO Y OTROS (BB)</t>
        </is>
      </c>
      <c r="F559" t="inlineStr">
        <is>
          <t>PIRA</t>
        </is>
      </c>
      <c r="G559" t="n">
        <v>720</v>
      </c>
      <c r="H559" t="n">
        <v>0</v>
      </c>
      <c r="I559" t="n">
        <v>10</v>
      </c>
      <c r="J559" t="n">
        <v>52</v>
      </c>
      <c r="K559" t="n">
        <v>0</v>
      </c>
      <c r="L559" t="n">
        <v>77.12</v>
      </c>
      <c r="M559" t="n">
        <v>30</v>
      </c>
      <c r="N559" t="n">
        <v>60</v>
      </c>
      <c r="O559" t="n">
        <v>99.90000000000001</v>
      </c>
      <c r="P559" t="n">
        <v>7.71</v>
      </c>
    </row>
    <row r="560">
      <c r="A560" t="n">
        <v>827433</v>
      </c>
      <c r="B560" t="inlineStr">
        <is>
          <t>13-05-2026</t>
        </is>
      </c>
      <c r="C560" t="inlineStr">
        <is>
          <t>TEA02</t>
        </is>
      </c>
      <c r="D560" t="inlineStr">
        <is>
          <t>FORWINCH</t>
        </is>
      </c>
      <c r="E560" t="inlineStr">
        <is>
          <t>LOMA DE LA VACA</t>
        </is>
      </c>
      <c r="F560" t="inlineStr">
        <is>
          <t>PIRA</t>
        </is>
      </c>
      <c r="G560" t="n">
        <v>720</v>
      </c>
      <c r="H560" t="n">
        <v>0</v>
      </c>
      <c r="I560" t="n">
        <v>11</v>
      </c>
      <c r="J560" t="n">
        <v>0</v>
      </c>
      <c r="K560" t="n">
        <v>0</v>
      </c>
      <c r="L560" t="n">
        <v>86.97</v>
      </c>
      <c r="M560" t="n">
        <v>0</v>
      </c>
      <c r="N560" t="n">
        <v>0</v>
      </c>
      <c r="O560" t="n">
        <v>100</v>
      </c>
      <c r="P560" t="n">
        <v>7.91</v>
      </c>
    </row>
    <row r="561">
      <c r="A561" t="n">
        <v>827433</v>
      </c>
      <c r="B561" t="inlineStr">
        <is>
          <t>13-05-2026</t>
        </is>
      </c>
      <c r="C561" t="inlineStr">
        <is>
          <t>TEA02</t>
        </is>
      </c>
      <c r="D561" t="inlineStr">
        <is>
          <t>FORWINCH</t>
        </is>
      </c>
      <c r="E561" t="inlineStr">
        <is>
          <t>LOMA DE LA VACA</t>
        </is>
      </c>
      <c r="F561" t="inlineStr">
        <is>
          <t>PIRA</t>
        </is>
      </c>
      <c r="G561" t="n">
        <v>720</v>
      </c>
      <c r="H561" t="n">
        <v>0</v>
      </c>
      <c r="I561" t="n">
        <v>11</v>
      </c>
      <c r="J561" t="n">
        <v>0</v>
      </c>
      <c r="K561" t="n">
        <v>0</v>
      </c>
      <c r="L561" t="n">
        <v>16.45</v>
      </c>
      <c r="M561" t="n">
        <v>0</v>
      </c>
      <c r="N561" t="n">
        <v>0</v>
      </c>
      <c r="O561" t="n">
        <v>100</v>
      </c>
      <c r="P561" t="n">
        <v>1.5</v>
      </c>
    </row>
    <row r="562">
      <c r="A562" t="n">
        <v>827433</v>
      </c>
      <c r="B562" t="inlineStr">
        <is>
          <t>13-05-2026</t>
        </is>
      </c>
      <c r="C562" t="inlineStr">
        <is>
          <t>TEA02</t>
        </is>
      </c>
      <c r="D562" t="inlineStr">
        <is>
          <t>FORWINCH</t>
        </is>
      </c>
      <c r="E562" t="inlineStr">
        <is>
          <t>LOMA DE LA VACA</t>
        </is>
      </c>
      <c r="F562" t="inlineStr">
        <is>
          <t>PIRA</t>
        </is>
      </c>
      <c r="G562" t="n">
        <v>720</v>
      </c>
      <c r="H562" t="n">
        <v>0</v>
      </c>
      <c r="I562" t="n">
        <v>11</v>
      </c>
      <c r="J562" t="n">
        <v>0</v>
      </c>
      <c r="K562" t="n">
        <v>0</v>
      </c>
      <c r="L562" t="n">
        <v>76.44</v>
      </c>
      <c r="M562" t="n">
        <v>0</v>
      </c>
      <c r="N562" t="n">
        <v>0</v>
      </c>
      <c r="O562" t="n">
        <v>100</v>
      </c>
      <c r="P562" t="n">
        <v>6.95</v>
      </c>
    </row>
    <row r="563">
      <c r="A563" t="n">
        <v>827468</v>
      </c>
      <c r="B563" t="inlineStr">
        <is>
          <t>11-05-2026</t>
        </is>
      </c>
      <c r="C563" t="inlineStr">
        <is>
          <t>MG5</t>
        </is>
      </c>
      <c r="D563" t="inlineStr">
        <is>
          <t>GRAPPLE</t>
        </is>
      </c>
      <c r="E563" t="inlineStr">
        <is>
          <t>CE-27 ESPINALILLO YBAR</t>
        </is>
      </c>
      <c r="F563" t="inlineStr">
        <is>
          <t>PIRA</t>
        </is>
      </c>
      <c r="G563" t="n">
        <v>720</v>
      </c>
      <c r="H563" t="n">
        <v>0</v>
      </c>
      <c r="I563" t="n">
        <v>11</v>
      </c>
      <c r="J563" t="n">
        <v>65</v>
      </c>
      <c r="K563" t="n">
        <v>0</v>
      </c>
      <c r="L563" t="n">
        <v>5.49</v>
      </c>
      <c r="M563" t="n">
        <v>0</v>
      </c>
      <c r="N563" t="n">
        <v>0</v>
      </c>
      <c r="O563" t="n">
        <v>100</v>
      </c>
      <c r="P563" t="n">
        <v>0.5</v>
      </c>
    </row>
    <row r="564">
      <c r="A564" t="n">
        <v>827468</v>
      </c>
      <c r="B564" t="inlineStr">
        <is>
          <t>11-05-2026</t>
        </is>
      </c>
      <c r="C564" t="inlineStr">
        <is>
          <t>MG5</t>
        </is>
      </c>
      <c r="D564" t="inlineStr">
        <is>
          <t>GRAPPLE</t>
        </is>
      </c>
      <c r="E564" t="inlineStr">
        <is>
          <t>CE-27 ESPINALILLO YBAR</t>
        </is>
      </c>
      <c r="F564" t="inlineStr">
        <is>
          <t>PIRA</t>
        </is>
      </c>
      <c r="G564" t="n">
        <v>720</v>
      </c>
      <c r="H564" t="n">
        <v>0</v>
      </c>
      <c r="I564" t="n">
        <v>11</v>
      </c>
      <c r="J564" t="n">
        <v>65</v>
      </c>
      <c r="K564" t="n">
        <v>0</v>
      </c>
      <c r="L564" t="n">
        <v>124.71</v>
      </c>
      <c r="M564" t="n">
        <v>0</v>
      </c>
      <c r="N564" t="n">
        <v>0</v>
      </c>
      <c r="O564" t="n">
        <v>100</v>
      </c>
      <c r="P564" t="n">
        <v>11.34</v>
      </c>
    </row>
    <row r="565">
      <c r="A565" t="n">
        <v>827468</v>
      </c>
      <c r="B565" t="inlineStr">
        <is>
          <t>11-05-2026</t>
        </is>
      </c>
      <c r="C565" t="inlineStr">
        <is>
          <t>MG5</t>
        </is>
      </c>
      <c r="D565" t="inlineStr">
        <is>
          <t>GRAPPLE</t>
        </is>
      </c>
      <c r="E565" t="inlineStr">
        <is>
          <t>CE-27 ESPINALILLO YBAR</t>
        </is>
      </c>
      <c r="F565" t="inlineStr">
        <is>
          <t>PIRA</t>
        </is>
      </c>
      <c r="G565" t="n">
        <v>720</v>
      </c>
      <c r="H565" t="n">
        <v>0</v>
      </c>
      <c r="I565" t="n">
        <v>11</v>
      </c>
      <c r="J565" t="n">
        <v>65</v>
      </c>
      <c r="K565" t="n">
        <v>0</v>
      </c>
      <c r="L565" t="n">
        <v>90.23999999999999</v>
      </c>
      <c r="M565" t="n">
        <v>0</v>
      </c>
      <c r="N565" t="n">
        <v>0</v>
      </c>
      <c r="O565" t="n">
        <v>100</v>
      </c>
      <c r="P565" t="n">
        <v>8.199999999999999</v>
      </c>
    </row>
    <row r="566">
      <c r="A566" t="n">
        <v>827469</v>
      </c>
      <c r="B566" t="inlineStr">
        <is>
          <t>12-05-2026</t>
        </is>
      </c>
      <c r="C566" t="inlineStr">
        <is>
          <t>MG5</t>
        </is>
      </c>
      <c r="D566" t="inlineStr">
        <is>
          <t>GRAPPLE</t>
        </is>
      </c>
      <c r="E566" t="inlineStr">
        <is>
          <t>CE-27 ESPINALILLO YBAR</t>
        </is>
      </c>
      <c r="F566" t="inlineStr">
        <is>
          <t>PIRA</t>
        </is>
      </c>
      <c r="G566" t="n">
        <v>720</v>
      </c>
      <c r="H566" t="n">
        <v>0</v>
      </c>
      <c r="I566" t="n">
        <v>11</v>
      </c>
      <c r="J566" t="n">
        <v>45</v>
      </c>
      <c r="K566" t="n">
        <v>0</v>
      </c>
      <c r="L566" t="n">
        <v>6.05</v>
      </c>
      <c r="M566" t="n">
        <v>0</v>
      </c>
      <c r="N566" t="n">
        <v>0</v>
      </c>
      <c r="O566" t="n">
        <v>100</v>
      </c>
      <c r="P566" t="n">
        <v>0.55</v>
      </c>
    </row>
    <row r="567">
      <c r="A567" t="n">
        <v>827469</v>
      </c>
      <c r="B567" t="inlineStr">
        <is>
          <t>12-05-2026</t>
        </is>
      </c>
      <c r="C567" t="inlineStr">
        <is>
          <t>MG5</t>
        </is>
      </c>
      <c r="D567" t="inlineStr">
        <is>
          <t>GRAPPLE</t>
        </is>
      </c>
      <c r="E567" t="inlineStr">
        <is>
          <t>CE-27 ESPINALILLO YBAR</t>
        </is>
      </c>
      <c r="F567" t="inlineStr">
        <is>
          <t>PIRA</t>
        </is>
      </c>
      <c r="G567" t="n">
        <v>720</v>
      </c>
      <c r="H567" t="n">
        <v>0</v>
      </c>
      <c r="I567" t="n">
        <v>11</v>
      </c>
      <c r="J567" t="n">
        <v>45</v>
      </c>
      <c r="K567" t="n">
        <v>0</v>
      </c>
      <c r="L567" t="n">
        <v>91.58</v>
      </c>
      <c r="M567" t="n">
        <v>0</v>
      </c>
      <c r="N567" t="n">
        <v>0</v>
      </c>
      <c r="O567" t="n">
        <v>100</v>
      </c>
      <c r="P567" t="n">
        <v>8.33</v>
      </c>
    </row>
    <row r="568">
      <c r="A568" t="n">
        <v>827469</v>
      </c>
      <c r="B568" t="inlineStr">
        <is>
          <t>12-05-2026</t>
        </is>
      </c>
      <c r="C568" t="inlineStr">
        <is>
          <t>MG5</t>
        </is>
      </c>
      <c r="D568" t="inlineStr">
        <is>
          <t>GRAPPLE</t>
        </is>
      </c>
      <c r="E568" t="inlineStr">
        <is>
          <t>CE-27 ESPINALILLO YBAR</t>
        </is>
      </c>
      <c r="F568" t="inlineStr">
        <is>
          <t>PIRA</t>
        </is>
      </c>
      <c r="G568" t="n">
        <v>720</v>
      </c>
      <c r="H568" t="n">
        <v>0</v>
      </c>
      <c r="I568" t="n">
        <v>11</v>
      </c>
      <c r="J568" t="n">
        <v>45</v>
      </c>
      <c r="K568" t="n">
        <v>0</v>
      </c>
      <c r="L568" t="n">
        <v>53.94</v>
      </c>
      <c r="M568" t="n">
        <v>0</v>
      </c>
      <c r="N568" t="n">
        <v>0</v>
      </c>
      <c r="O568" t="n">
        <v>100</v>
      </c>
      <c r="P568" t="n">
        <v>4.9</v>
      </c>
    </row>
    <row r="569">
      <c r="A569" t="n">
        <v>827469</v>
      </c>
      <c r="B569" t="inlineStr">
        <is>
          <t>12-05-2026</t>
        </is>
      </c>
      <c r="C569" t="inlineStr">
        <is>
          <t>MG5</t>
        </is>
      </c>
      <c r="D569" t="inlineStr">
        <is>
          <t>GRAPPLE</t>
        </is>
      </c>
      <c r="E569" t="inlineStr">
        <is>
          <t>CE-27 ESPINALILLO YBAR</t>
        </is>
      </c>
      <c r="F569" t="inlineStr">
        <is>
          <t>PIRA</t>
        </is>
      </c>
      <c r="G569" t="n">
        <v>720</v>
      </c>
      <c r="H569" t="n">
        <v>0</v>
      </c>
      <c r="I569" t="n">
        <v>11</v>
      </c>
      <c r="J569" t="n">
        <v>45</v>
      </c>
      <c r="K569" t="n">
        <v>0</v>
      </c>
      <c r="L569" t="n">
        <v>12.67</v>
      </c>
      <c r="M569" t="n">
        <v>0</v>
      </c>
      <c r="N569" t="n">
        <v>0</v>
      </c>
      <c r="O569" t="n">
        <v>100</v>
      </c>
      <c r="P569" t="n">
        <v>1.15</v>
      </c>
    </row>
    <row r="570">
      <c r="A570" t="n">
        <v>827471</v>
      </c>
      <c r="B570" t="inlineStr">
        <is>
          <t>14-05-2026</t>
        </is>
      </c>
      <c r="C570" t="inlineStr">
        <is>
          <t>T125</t>
        </is>
      </c>
      <c r="D570" t="inlineStr">
        <is>
          <t>TORRE500</t>
        </is>
      </c>
      <c r="E570" t="inlineStr">
        <is>
          <t>POLHUIN</t>
        </is>
      </c>
      <c r="F570" t="inlineStr">
        <is>
          <t>EUGL</t>
        </is>
      </c>
      <c r="G570" t="n">
        <v>720</v>
      </c>
      <c r="H570" t="n">
        <v>0</v>
      </c>
      <c r="I570" t="n">
        <v>7</v>
      </c>
      <c r="J570" t="n">
        <v>51</v>
      </c>
      <c r="K570" t="n">
        <v>0</v>
      </c>
      <c r="L570" t="n">
        <v>0</v>
      </c>
      <c r="M570" t="n">
        <v>0</v>
      </c>
      <c r="N570" t="n">
        <v>240</v>
      </c>
      <c r="O570" t="n">
        <v>100</v>
      </c>
      <c r="P570" t="n">
        <v>0</v>
      </c>
    </row>
    <row r="571">
      <c r="A571" t="n">
        <v>827471</v>
      </c>
      <c r="B571" t="inlineStr">
        <is>
          <t>14-05-2026</t>
        </is>
      </c>
      <c r="C571" t="inlineStr">
        <is>
          <t>T125</t>
        </is>
      </c>
      <c r="D571" t="inlineStr">
        <is>
          <t>TORRE500</t>
        </is>
      </c>
      <c r="E571" t="inlineStr">
        <is>
          <t>POLHUIN</t>
        </is>
      </c>
      <c r="F571" t="inlineStr">
        <is>
          <t>EUGL</t>
        </is>
      </c>
      <c r="G571" t="n">
        <v>720</v>
      </c>
      <c r="H571" t="n">
        <v>0</v>
      </c>
      <c r="I571" t="n">
        <v>7</v>
      </c>
      <c r="J571" t="n">
        <v>51</v>
      </c>
      <c r="K571" t="n">
        <v>0</v>
      </c>
      <c r="L571" t="n">
        <v>49.36</v>
      </c>
      <c r="M571" t="n">
        <v>0</v>
      </c>
      <c r="N571" t="n">
        <v>240</v>
      </c>
      <c r="O571" t="n">
        <v>100</v>
      </c>
      <c r="P571" t="n">
        <v>7.05</v>
      </c>
    </row>
    <row r="572">
      <c r="A572" t="n">
        <v>827472</v>
      </c>
      <c r="B572" t="inlineStr">
        <is>
          <t>14-05-2026</t>
        </is>
      </c>
      <c r="C572" t="inlineStr">
        <is>
          <t>MG5</t>
        </is>
      </c>
      <c r="D572" t="inlineStr">
        <is>
          <t>GRAPPLE</t>
        </is>
      </c>
      <c r="E572" t="inlineStr">
        <is>
          <t>CE-27 ESPINALILLO YBAR</t>
        </is>
      </c>
      <c r="F572" t="inlineStr">
        <is>
          <t>PIRA</t>
        </is>
      </c>
      <c r="G572" t="n">
        <v>720</v>
      </c>
      <c r="H572" t="n">
        <v>0</v>
      </c>
      <c r="I572" t="n">
        <v>8</v>
      </c>
      <c r="J572" t="n">
        <v>54</v>
      </c>
      <c r="K572" t="n">
        <v>0</v>
      </c>
      <c r="L572" t="n">
        <v>89.18000000000001</v>
      </c>
      <c r="M572" t="n">
        <v>180</v>
      </c>
      <c r="N572" t="n">
        <v>180</v>
      </c>
      <c r="O572" t="n">
        <v>99.59999999999999</v>
      </c>
      <c r="P572" t="n">
        <v>11.15</v>
      </c>
    </row>
    <row r="573">
      <c r="A573" t="n">
        <v>827472</v>
      </c>
      <c r="B573" t="inlineStr">
        <is>
          <t>14-05-2026</t>
        </is>
      </c>
      <c r="C573" t="inlineStr">
        <is>
          <t>MG5</t>
        </is>
      </c>
      <c r="D573" t="inlineStr">
        <is>
          <t>GRAPPLE</t>
        </is>
      </c>
      <c r="E573" t="inlineStr">
        <is>
          <t>CE-27 ESPINALILLO YBAR</t>
        </is>
      </c>
      <c r="F573" t="inlineStr">
        <is>
          <t>PIRA</t>
        </is>
      </c>
      <c r="G573" t="n">
        <v>720</v>
      </c>
      <c r="H573" t="n">
        <v>0</v>
      </c>
      <c r="I573" t="n">
        <v>8</v>
      </c>
      <c r="J573" t="n">
        <v>54</v>
      </c>
      <c r="K573" t="n">
        <v>0</v>
      </c>
      <c r="L573" t="n">
        <v>157.94</v>
      </c>
      <c r="M573" t="n">
        <v>180</v>
      </c>
      <c r="N573" t="n">
        <v>180</v>
      </c>
      <c r="O573" t="n">
        <v>99.59999999999999</v>
      </c>
      <c r="P573" t="n">
        <v>19.74</v>
      </c>
    </row>
    <row r="574">
      <c r="A574" t="n">
        <v>827476</v>
      </c>
      <c r="B574" t="inlineStr">
        <is>
          <t>14-05-2026</t>
        </is>
      </c>
      <c r="C574" t="inlineStr">
        <is>
          <t>S123</t>
        </is>
      </c>
      <c r="D574" t="inlineStr">
        <is>
          <t>SKIDDER</t>
        </is>
      </c>
      <c r="E574" t="inlineStr">
        <is>
          <t>QUIRIQUINO</t>
        </is>
      </c>
      <c r="F574" t="inlineStr">
        <is>
          <t>PIRA</t>
        </is>
      </c>
      <c r="G574" t="n">
        <v>720</v>
      </c>
      <c r="H574" t="n">
        <v>0</v>
      </c>
      <c r="I574" t="n">
        <v>10</v>
      </c>
      <c r="J574" t="n">
        <v>75</v>
      </c>
      <c r="K574" t="n">
        <v>0</v>
      </c>
      <c r="L574" t="n">
        <v>47.88</v>
      </c>
      <c r="M574" t="n">
        <v>60</v>
      </c>
      <c r="N574" t="n">
        <v>60</v>
      </c>
      <c r="O574" t="n">
        <v>99.90000000000001</v>
      </c>
      <c r="P574" t="n">
        <v>4.79</v>
      </c>
    </row>
    <row r="575">
      <c r="A575" t="n">
        <v>827476</v>
      </c>
      <c r="B575" t="inlineStr">
        <is>
          <t>14-05-2026</t>
        </is>
      </c>
      <c r="C575" t="inlineStr">
        <is>
          <t>S123</t>
        </is>
      </c>
      <c r="D575" t="inlineStr">
        <is>
          <t>SKIDDER</t>
        </is>
      </c>
      <c r="E575" t="inlineStr">
        <is>
          <t>QUIRIQUINO</t>
        </is>
      </c>
      <c r="F575" t="inlineStr">
        <is>
          <t>PIRA</t>
        </is>
      </c>
      <c r="G575" t="n">
        <v>720</v>
      </c>
      <c r="H575" t="n">
        <v>0</v>
      </c>
      <c r="I575" t="n">
        <v>10</v>
      </c>
      <c r="J575" t="n">
        <v>75</v>
      </c>
      <c r="K575" t="n">
        <v>0</v>
      </c>
      <c r="L575" t="n">
        <v>43.47</v>
      </c>
      <c r="M575" t="n">
        <v>60</v>
      </c>
      <c r="N575" t="n">
        <v>60</v>
      </c>
      <c r="O575" t="n">
        <v>99.90000000000001</v>
      </c>
      <c r="P575" t="n">
        <v>4.35</v>
      </c>
    </row>
    <row r="576">
      <c r="A576" t="n">
        <v>827476</v>
      </c>
      <c r="B576" t="inlineStr">
        <is>
          <t>14-05-2026</t>
        </is>
      </c>
      <c r="C576" t="inlineStr">
        <is>
          <t>S123</t>
        </is>
      </c>
      <c r="D576" t="inlineStr">
        <is>
          <t>SKIDDER</t>
        </is>
      </c>
      <c r="E576" t="inlineStr">
        <is>
          <t>QUIRIQUINO</t>
        </is>
      </c>
      <c r="F576" t="inlineStr">
        <is>
          <t>PIRA</t>
        </is>
      </c>
      <c r="G576" t="n">
        <v>720</v>
      </c>
      <c r="H576" t="n">
        <v>0</v>
      </c>
      <c r="I576" t="n">
        <v>10</v>
      </c>
      <c r="J576" t="n">
        <v>75</v>
      </c>
      <c r="K576" t="n">
        <v>0</v>
      </c>
      <c r="L576" t="n">
        <v>11.65</v>
      </c>
      <c r="M576" t="n">
        <v>60</v>
      </c>
      <c r="N576" t="n">
        <v>60</v>
      </c>
      <c r="O576" t="n">
        <v>99.90000000000001</v>
      </c>
      <c r="P576" t="n">
        <v>1.17</v>
      </c>
    </row>
    <row r="577">
      <c r="A577" t="n">
        <v>827476</v>
      </c>
      <c r="B577" t="inlineStr">
        <is>
          <t>14-05-2026</t>
        </is>
      </c>
      <c r="C577" t="inlineStr">
        <is>
          <t>S123</t>
        </is>
      </c>
      <c r="D577" t="inlineStr">
        <is>
          <t>SKIDDER</t>
        </is>
      </c>
      <c r="E577" t="inlineStr">
        <is>
          <t>QUIRIQUINO</t>
        </is>
      </c>
      <c r="F577" t="inlineStr">
        <is>
          <t>PIRA</t>
        </is>
      </c>
      <c r="G577" t="n">
        <v>720</v>
      </c>
      <c r="H577" t="n">
        <v>0</v>
      </c>
      <c r="I577" t="n">
        <v>10</v>
      </c>
      <c r="J577" t="n">
        <v>75</v>
      </c>
      <c r="K577" t="n">
        <v>0</v>
      </c>
      <c r="L577" t="n">
        <v>62.27</v>
      </c>
      <c r="M577" t="n">
        <v>60</v>
      </c>
      <c r="N577" t="n">
        <v>60</v>
      </c>
      <c r="O577" t="n">
        <v>99.90000000000001</v>
      </c>
      <c r="P577" t="n">
        <v>6.23</v>
      </c>
    </row>
    <row r="578">
      <c r="A578" t="n">
        <v>827476</v>
      </c>
      <c r="B578" t="inlineStr">
        <is>
          <t>14-05-2026</t>
        </is>
      </c>
      <c r="C578" t="inlineStr">
        <is>
          <t>S123</t>
        </is>
      </c>
      <c r="D578" t="inlineStr">
        <is>
          <t>SKIDDER</t>
        </is>
      </c>
      <c r="E578" t="inlineStr">
        <is>
          <t>QUIRIQUINO</t>
        </is>
      </c>
      <c r="F578" t="inlineStr">
        <is>
          <t>PIRA</t>
        </is>
      </c>
      <c r="G578" t="n">
        <v>720</v>
      </c>
      <c r="H578" t="n">
        <v>0</v>
      </c>
      <c r="I578" t="n">
        <v>10</v>
      </c>
      <c r="J578" t="n">
        <v>75</v>
      </c>
      <c r="K578" t="n">
        <v>0</v>
      </c>
      <c r="L578" t="n">
        <v>244.34</v>
      </c>
      <c r="M578" t="n">
        <v>60</v>
      </c>
      <c r="N578" t="n">
        <v>60</v>
      </c>
      <c r="O578" t="n">
        <v>99.90000000000001</v>
      </c>
      <c r="P578" t="n">
        <v>24.43</v>
      </c>
    </row>
    <row r="579">
      <c r="A579" t="n">
        <v>827492</v>
      </c>
      <c r="B579" t="inlineStr">
        <is>
          <t>14-05-2026</t>
        </is>
      </c>
      <c r="C579" t="inlineStr">
        <is>
          <t>S246</t>
        </is>
      </c>
      <c r="D579" t="inlineStr">
        <is>
          <t>SKIDDER</t>
        </is>
      </c>
      <c r="E579" t="inlineStr">
        <is>
          <t>LAS MERCEDES C13</t>
        </is>
      </c>
      <c r="F579" t="inlineStr">
        <is>
          <t>PIRA</t>
        </is>
      </c>
      <c r="G579" t="n">
        <v>720</v>
      </c>
      <c r="H579" t="n">
        <v>0</v>
      </c>
      <c r="I579" t="n">
        <v>9</v>
      </c>
      <c r="J579" t="n">
        <v>94</v>
      </c>
      <c r="K579" t="n">
        <v>0</v>
      </c>
      <c r="L579" t="n">
        <v>93.86</v>
      </c>
      <c r="M579" t="n">
        <v>0</v>
      </c>
      <c r="N579" t="n">
        <v>120</v>
      </c>
      <c r="O579" t="n">
        <v>100</v>
      </c>
      <c r="P579" t="n">
        <v>10.43</v>
      </c>
    </row>
    <row r="580">
      <c r="A580" t="n">
        <v>827492</v>
      </c>
      <c r="B580" t="inlineStr">
        <is>
          <t>14-05-2026</t>
        </is>
      </c>
      <c r="C580" t="inlineStr">
        <is>
          <t>S246</t>
        </is>
      </c>
      <c r="D580" t="inlineStr">
        <is>
          <t>SKIDDER</t>
        </is>
      </c>
      <c r="E580" t="inlineStr">
        <is>
          <t>LAS MERCEDES C13</t>
        </is>
      </c>
      <c r="F580" t="inlineStr">
        <is>
          <t>PIRA</t>
        </is>
      </c>
      <c r="G580" t="n">
        <v>720</v>
      </c>
      <c r="H580" t="n">
        <v>0</v>
      </c>
      <c r="I580" t="n">
        <v>9</v>
      </c>
      <c r="J580" t="n">
        <v>94</v>
      </c>
      <c r="K580" t="n">
        <v>0</v>
      </c>
      <c r="L580" t="n">
        <v>53.2</v>
      </c>
      <c r="M580" t="n">
        <v>0</v>
      </c>
      <c r="N580" t="n">
        <v>120</v>
      </c>
      <c r="O580" t="n">
        <v>100</v>
      </c>
      <c r="P580" t="n">
        <v>5.91</v>
      </c>
    </row>
    <row r="581">
      <c r="A581" t="n">
        <v>827503</v>
      </c>
      <c r="B581" t="inlineStr">
        <is>
          <t>14-05-2026</t>
        </is>
      </c>
      <c r="C581" t="inlineStr">
        <is>
          <t>TEA02</t>
        </is>
      </c>
      <c r="D581" t="inlineStr">
        <is>
          <t>FORWINCH</t>
        </is>
      </c>
      <c r="E581" t="inlineStr">
        <is>
          <t>LOMA DE LA VACA</t>
        </is>
      </c>
      <c r="F581" t="inlineStr">
        <is>
          <t>PIRA</t>
        </is>
      </c>
      <c r="G581" t="n">
        <v>720</v>
      </c>
      <c r="H581" t="n">
        <v>0</v>
      </c>
      <c r="I581" t="n">
        <v>10.5</v>
      </c>
      <c r="J581" t="n">
        <v>33</v>
      </c>
      <c r="K581" t="n">
        <v>0</v>
      </c>
      <c r="L581" t="n">
        <v>95.76000000000001</v>
      </c>
      <c r="M581" t="n">
        <v>0</v>
      </c>
      <c r="N581" t="n">
        <v>30</v>
      </c>
      <c r="O581" t="n">
        <v>100</v>
      </c>
      <c r="P581" t="n">
        <v>9.119999999999999</v>
      </c>
    </row>
    <row r="582">
      <c r="A582" t="n">
        <v>827503</v>
      </c>
      <c r="B582" t="inlineStr">
        <is>
          <t>14-05-2026</t>
        </is>
      </c>
      <c r="C582" t="inlineStr">
        <is>
          <t>TEA02</t>
        </is>
      </c>
      <c r="D582" t="inlineStr">
        <is>
          <t>FORWINCH</t>
        </is>
      </c>
      <c r="E582" t="inlineStr">
        <is>
          <t>LOMA DE LA VACA</t>
        </is>
      </c>
      <c r="F582" t="inlineStr">
        <is>
          <t>PIRA</t>
        </is>
      </c>
      <c r="G582" t="n">
        <v>720</v>
      </c>
      <c r="H582" t="n">
        <v>0</v>
      </c>
      <c r="I582" t="n">
        <v>10.5</v>
      </c>
      <c r="J582" t="n">
        <v>33</v>
      </c>
      <c r="K582" t="n">
        <v>0</v>
      </c>
      <c r="L582" t="n">
        <v>36.06</v>
      </c>
      <c r="M582" t="n">
        <v>0</v>
      </c>
      <c r="N582" t="n">
        <v>30</v>
      </c>
      <c r="O582" t="n">
        <v>100</v>
      </c>
      <c r="P582" t="n">
        <v>3.43</v>
      </c>
    </row>
    <row r="583">
      <c r="A583" t="n">
        <v>827509</v>
      </c>
      <c r="B583" t="inlineStr">
        <is>
          <t>14-05-2026</t>
        </is>
      </c>
      <c r="C583" t="inlineStr">
        <is>
          <t>S223</t>
        </is>
      </c>
      <c r="D583" t="inlineStr">
        <is>
          <t>SKIDDER</t>
        </is>
      </c>
      <c r="E583" t="inlineStr">
        <is>
          <t>LAS ULLOAS (BB)</t>
        </is>
      </c>
      <c r="F583" t="inlineStr">
        <is>
          <t>PIRA</t>
        </is>
      </c>
      <c r="G583" t="n">
        <v>720</v>
      </c>
      <c r="H583" t="n">
        <v>0</v>
      </c>
      <c r="I583" t="n">
        <v>6</v>
      </c>
      <c r="J583" t="n">
        <v>22</v>
      </c>
      <c r="K583" t="n">
        <v>0</v>
      </c>
      <c r="L583" t="n">
        <v>7.48</v>
      </c>
      <c r="M583" t="n">
        <v>300</v>
      </c>
      <c r="N583" t="n">
        <v>300</v>
      </c>
      <c r="O583" t="n">
        <v>99.3</v>
      </c>
      <c r="P583" t="n">
        <v>1.25</v>
      </c>
    </row>
    <row r="584">
      <c r="A584" t="n">
        <v>827509</v>
      </c>
      <c r="B584" t="inlineStr">
        <is>
          <t>14-05-2026</t>
        </is>
      </c>
      <c r="C584" t="inlineStr">
        <is>
          <t>S223</t>
        </is>
      </c>
      <c r="D584" t="inlineStr">
        <is>
          <t>SKIDDER</t>
        </is>
      </c>
      <c r="E584" t="inlineStr">
        <is>
          <t>LAS ULLOAS (BB)</t>
        </is>
      </c>
      <c r="F584" t="inlineStr">
        <is>
          <t>PIRA</t>
        </is>
      </c>
      <c r="G584" t="n">
        <v>720</v>
      </c>
      <c r="H584" t="n">
        <v>0</v>
      </c>
      <c r="I584" t="n">
        <v>6</v>
      </c>
      <c r="J584" t="n">
        <v>22</v>
      </c>
      <c r="K584" t="n">
        <v>0</v>
      </c>
      <c r="L584" t="n">
        <v>14.77</v>
      </c>
      <c r="M584" t="n">
        <v>300</v>
      </c>
      <c r="N584" t="n">
        <v>300</v>
      </c>
      <c r="O584" t="n">
        <v>99.3</v>
      </c>
      <c r="P584" t="n">
        <v>2.46</v>
      </c>
    </row>
    <row r="585">
      <c r="A585" t="n">
        <v>827509</v>
      </c>
      <c r="B585" t="inlineStr">
        <is>
          <t>14-05-2026</t>
        </is>
      </c>
      <c r="C585" t="inlineStr">
        <is>
          <t>S223</t>
        </is>
      </c>
      <c r="D585" t="inlineStr">
        <is>
          <t>SKIDDER</t>
        </is>
      </c>
      <c r="E585" t="inlineStr">
        <is>
          <t>LAS ULLOAS (BB)</t>
        </is>
      </c>
      <c r="F585" t="inlineStr">
        <is>
          <t>PIRA</t>
        </is>
      </c>
      <c r="G585" t="n">
        <v>720</v>
      </c>
      <c r="H585" t="n">
        <v>0</v>
      </c>
      <c r="I585" t="n">
        <v>6</v>
      </c>
      <c r="J585" t="n">
        <v>22</v>
      </c>
      <c r="K585" t="n">
        <v>0</v>
      </c>
      <c r="L585" t="n">
        <v>38.94</v>
      </c>
      <c r="M585" t="n">
        <v>300</v>
      </c>
      <c r="N585" t="n">
        <v>300</v>
      </c>
      <c r="O585" t="n">
        <v>99.3</v>
      </c>
      <c r="P585" t="n">
        <v>6.49</v>
      </c>
    </row>
    <row r="586">
      <c r="A586" t="n">
        <v>827509</v>
      </c>
      <c r="B586" t="inlineStr">
        <is>
          <t>14-05-2026</t>
        </is>
      </c>
      <c r="C586" t="inlineStr">
        <is>
          <t>S223</t>
        </is>
      </c>
      <c r="D586" t="inlineStr">
        <is>
          <t>SKIDDER</t>
        </is>
      </c>
      <c r="E586" t="inlineStr">
        <is>
          <t>LAS ULLOAS (BB)</t>
        </is>
      </c>
      <c r="F586" t="inlineStr">
        <is>
          <t>PIRA</t>
        </is>
      </c>
      <c r="G586" t="n">
        <v>720</v>
      </c>
      <c r="H586" t="n">
        <v>0</v>
      </c>
      <c r="I586" t="n">
        <v>6</v>
      </c>
      <c r="J586" t="n">
        <v>22</v>
      </c>
      <c r="K586" t="n">
        <v>0</v>
      </c>
      <c r="L586" t="n">
        <v>63.99</v>
      </c>
      <c r="M586" t="n">
        <v>300</v>
      </c>
      <c r="N586" t="n">
        <v>300</v>
      </c>
      <c r="O586" t="n">
        <v>99.3</v>
      </c>
      <c r="P586" t="n">
        <v>10.66</v>
      </c>
    </row>
    <row r="587">
      <c r="A587" t="n">
        <v>827512</v>
      </c>
      <c r="B587" t="inlineStr">
        <is>
          <t>14-05-2026</t>
        </is>
      </c>
      <c r="C587" t="inlineStr">
        <is>
          <t>S58</t>
        </is>
      </c>
      <c r="D587" t="inlineStr">
        <is>
          <t>SKIDDER</t>
        </is>
      </c>
      <c r="E587" t="inlineStr">
        <is>
          <t>COIHUECO Y OTROS (BB)</t>
        </is>
      </c>
      <c r="F587" t="inlineStr">
        <is>
          <t>PIRA</t>
        </is>
      </c>
      <c r="G587" t="n">
        <v>600</v>
      </c>
      <c r="H587" t="n">
        <v>0</v>
      </c>
      <c r="I587" t="n">
        <v>6</v>
      </c>
      <c r="J587" t="n">
        <v>46</v>
      </c>
      <c r="K587" t="n">
        <v>0</v>
      </c>
      <c r="L587" t="n">
        <v>17.24</v>
      </c>
      <c r="M587" t="n">
        <v>0</v>
      </c>
      <c r="N587" t="n">
        <v>180</v>
      </c>
      <c r="O587" t="n">
        <v>100</v>
      </c>
      <c r="P587" t="n">
        <v>2.87</v>
      </c>
    </row>
    <row r="588">
      <c r="A588" t="n">
        <v>827512</v>
      </c>
      <c r="B588" t="inlineStr">
        <is>
          <t>14-05-2026</t>
        </is>
      </c>
      <c r="C588" t="inlineStr">
        <is>
          <t>S58</t>
        </is>
      </c>
      <c r="D588" t="inlineStr">
        <is>
          <t>SKIDDER</t>
        </is>
      </c>
      <c r="E588" t="inlineStr">
        <is>
          <t>COIHUECO Y OTROS (BB)</t>
        </is>
      </c>
      <c r="F588" t="inlineStr">
        <is>
          <t>PIRA</t>
        </is>
      </c>
      <c r="G588" t="n">
        <v>600</v>
      </c>
      <c r="H588" t="n">
        <v>0</v>
      </c>
      <c r="I588" t="n">
        <v>6</v>
      </c>
      <c r="J588" t="n">
        <v>46</v>
      </c>
      <c r="K588" t="n">
        <v>0</v>
      </c>
      <c r="L588" t="n">
        <v>5.45</v>
      </c>
      <c r="M588" t="n">
        <v>0</v>
      </c>
      <c r="N588" t="n">
        <v>180</v>
      </c>
      <c r="O588" t="n">
        <v>100</v>
      </c>
      <c r="P588" t="n">
        <v>0.91</v>
      </c>
    </row>
    <row r="589">
      <c r="A589" t="n">
        <v>827512</v>
      </c>
      <c r="B589" t="inlineStr">
        <is>
          <t>14-05-2026</t>
        </is>
      </c>
      <c r="C589" t="inlineStr">
        <is>
          <t>S58</t>
        </is>
      </c>
      <c r="D589" t="inlineStr">
        <is>
          <t>SKIDDER</t>
        </is>
      </c>
      <c r="E589" t="inlineStr">
        <is>
          <t>COIHUECO Y OTROS (BB)</t>
        </is>
      </c>
      <c r="F589" t="inlineStr">
        <is>
          <t>PIRA</t>
        </is>
      </c>
      <c r="G589" t="n">
        <v>600</v>
      </c>
      <c r="H589" t="n">
        <v>0</v>
      </c>
      <c r="I589" t="n">
        <v>6</v>
      </c>
      <c r="J589" t="n">
        <v>46</v>
      </c>
      <c r="K589" t="n">
        <v>0</v>
      </c>
      <c r="L589" t="n">
        <v>32.5</v>
      </c>
      <c r="M589" t="n">
        <v>0</v>
      </c>
      <c r="N589" t="n">
        <v>180</v>
      </c>
      <c r="O589" t="n">
        <v>100</v>
      </c>
      <c r="P589" t="n">
        <v>5.42</v>
      </c>
    </row>
    <row r="590">
      <c r="A590" t="n">
        <v>827512</v>
      </c>
      <c r="B590" t="inlineStr">
        <is>
          <t>14-05-2026</t>
        </is>
      </c>
      <c r="C590" t="inlineStr">
        <is>
          <t>S58</t>
        </is>
      </c>
      <c r="D590" t="inlineStr">
        <is>
          <t>SKIDDER</t>
        </is>
      </c>
      <c r="E590" t="inlineStr">
        <is>
          <t>COIHUECO Y OTROS (BB)</t>
        </is>
      </c>
      <c r="F590" t="inlineStr">
        <is>
          <t>PIRA</t>
        </is>
      </c>
      <c r="G590" t="n">
        <v>600</v>
      </c>
      <c r="H590" t="n">
        <v>0</v>
      </c>
      <c r="I590" t="n">
        <v>6</v>
      </c>
      <c r="J590" t="n">
        <v>46</v>
      </c>
      <c r="K590" t="n">
        <v>0</v>
      </c>
      <c r="L590" t="n">
        <v>43.08</v>
      </c>
      <c r="M590" t="n">
        <v>0</v>
      </c>
      <c r="N590" t="n">
        <v>180</v>
      </c>
      <c r="O590" t="n">
        <v>100</v>
      </c>
      <c r="P590" t="n">
        <v>7.18</v>
      </c>
    </row>
    <row r="591">
      <c r="A591" t="n">
        <v>827512</v>
      </c>
      <c r="B591" t="inlineStr">
        <is>
          <t>14-05-2026</t>
        </is>
      </c>
      <c r="C591" t="inlineStr">
        <is>
          <t>S58</t>
        </is>
      </c>
      <c r="D591" t="inlineStr">
        <is>
          <t>SKIDDER</t>
        </is>
      </c>
      <c r="E591" t="inlineStr">
        <is>
          <t>COIHUECO Y OTROS (BB)</t>
        </is>
      </c>
      <c r="F591" t="inlineStr">
        <is>
          <t>PIRA</t>
        </is>
      </c>
      <c r="G591" t="n">
        <v>600</v>
      </c>
      <c r="H591" t="n">
        <v>0</v>
      </c>
      <c r="I591" t="n">
        <v>6</v>
      </c>
      <c r="J591" t="n">
        <v>46</v>
      </c>
      <c r="K591" t="n">
        <v>0</v>
      </c>
      <c r="L591" t="n">
        <v>5.17</v>
      </c>
      <c r="M591" t="n">
        <v>0</v>
      </c>
      <c r="N591" t="n">
        <v>180</v>
      </c>
      <c r="O591" t="n">
        <v>100</v>
      </c>
      <c r="P591" t="n">
        <v>0.86</v>
      </c>
    </row>
    <row r="592">
      <c r="A592" t="n">
        <v>827512</v>
      </c>
      <c r="B592" t="inlineStr">
        <is>
          <t>14-05-2026</t>
        </is>
      </c>
      <c r="C592" t="inlineStr">
        <is>
          <t>S58</t>
        </is>
      </c>
      <c r="D592" t="inlineStr">
        <is>
          <t>SKIDDER</t>
        </is>
      </c>
      <c r="E592" t="inlineStr">
        <is>
          <t>COIHUECO Y OTROS (BB)</t>
        </is>
      </c>
      <c r="F592" t="inlineStr">
        <is>
          <t>PIRA</t>
        </is>
      </c>
      <c r="G592" t="n">
        <v>600</v>
      </c>
      <c r="H592" t="n">
        <v>0</v>
      </c>
      <c r="I592" t="n">
        <v>6</v>
      </c>
      <c r="J592" t="n">
        <v>46</v>
      </c>
      <c r="K592" t="n">
        <v>0</v>
      </c>
      <c r="L592" t="n">
        <v>26.71</v>
      </c>
      <c r="M592" t="n">
        <v>0</v>
      </c>
      <c r="N592" t="n">
        <v>180</v>
      </c>
      <c r="O592" t="n">
        <v>100</v>
      </c>
      <c r="P592" t="n">
        <v>4.45</v>
      </c>
    </row>
    <row r="593">
      <c r="A593" t="n">
        <v>827513</v>
      </c>
      <c r="B593" t="inlineStr">
        <is>
          <t>14-05-2026</t>
        </is>
      </c>
      <c r="C593" t="inlineStr">
        <is>
          <t>TEA08</t>
        </is>
      </c>
      <c r="D593" t="inlineStr">
        <is>
          <t>FORWINCH</t>
        </is>
      </c>
      <c r="E593" t="inlineStr">
        <is>
          <t>COIHUECO Y OTROS (BB)</t>
        </is>
      </c>
      <c r="F593" t="inlineStr">
        <is>
          <t>PIRA</t>
        </is>
      </c>
      <c r="G593" t="n">
        <v>720</v>
      </c>
      <c r="H593" t="n">
        <v>0</v>
      </c>
      <c r="I593" t="n">
        <v>10</v>
      </c>
      <c r="J593" t="n">
        <v>54</v>
      </c>
      <c r="K593" t="n">
        <v>0</v>
      </c>
      <c r="L593" t="n">
        <v>52.67</v>
      </c>
      <c r="M593" t="n">
        <v>0</v>
      </c>
      <c r="N593" t="n">
        <v>60</v>
      </c>
      <c r="O593" t="n">
        <v>100</v>
      </c>
      <c r="P593" t="n">
        <v>5.27</v>
      </c>
    </row>
    <row r="594">
      <c r="A594" t="n">
        <v>827513</v>
      </c>
      <c r="B594" t="inlineStr">
        <is>
          <t>14-05-2026</t>
        </is>
      </c>
      <c r="C594" t="inlineStr">
        <is>
          <t>TEA08</t>
        </is>
      </c>
      <c r="D594" t="inlineStr">
        <is>
          <t>FORWINCH</t>
        </is>
      </c>
      <c r="E594" t="inlineStr">
        <is>
          <t>COIHUECO Y OTROS (BB)</t>
        </is>
      </c>
      <c r="F594" t="inlineStr">
        <is>
          <t>PIRA</t>
        </is>
      </c>
      <c r="G594" t="n">
        <v>720</v>
      </c>
      <c r="H594" t="n">
        <v>0</v>
      </c>
      <c r="I594" t="n">
        <v>10</v>
      </c>
      <c r="J594" t="n">
        <v>54</v>
      </c>
      <c r="K594" t="n">
        <v>0</v>
      </c>
      <c r="L594" t="n">
        <v>2.31</v>
      </c>
      <c r="M594" t="n">
        <v>0</v>
      </c>
      <c r="N594" t="n">
        <v>60</v>
      </c>
      <c r="O594" t="n">
        <v>100</v>
      </c>
      <c r="P594" t="n">
        <v>0.23</v>
      </c>
    </row>
    <row r="595">
      <c r="A595" t="n">
        <v>827513</v>
      </c>
      <c r="B595" t="inlineStr">
        <is>
          <t>14-05-2026</t>
        </is>
      </c>
      <c r="C595" t="inlineStr">
        <is>
          <t>TEA08</t>
        </is>
      </c>
      <c r="D595" t="inlineStr">
        <is>
          <t>FORWINCH</t>
        </is>
      </c>
      <c r="E595" t="inlineStr">
        <is>
          <t>COIHUECO Y OTROS (BB)</t>
        </is>
      </c>
      <c r="F595" t="inlineStr">
        <is>
          <t>PIRA</t>
        </is>
      </c>
      <c r="G595" t="n">
        <v>720</v>
      </c>
      <c r="H595" t="n">
        <v>0</v>
      </c>
      <c r="I595" t="n">
        <v>10</v>
      </c>
      <c r="J595" t="n">
        <v>54</v>
      </c>
      <c r="K595" t="n">
        <v>0</v>
      </c>
      <c r="L595" t="n">
        <v>18.21</v>
      </c>
      <c r="M595" t="n">
        <v>0</v>
      </c>
      <c r="N595" t="n">
        <v>60</v>
      </c>
      <c r="O595" t="n">
        <v>100</v>
      </c>
      <c r="P595" t="n">
        <v>1.82</v>
      </c>
    </row>
    <row r="596">
      <c r="A596" t="n">
        <v>827513</v>
      </c>
      <c r="B596" t="inlineStr">
        <is>
          <t>14-05-2026</t>
        </is>
      </c>
      <c r="C596" t="inlineStr">
        <is>
          <t>TEA08</t>
        </is>
      </c>
      <c r="D596" t="inlineStr">
        <is>
          <t>FORWINCH</t>
        </is>
      </c>
      <c r="E596" t="inlineStr">
        <is>
          <t>COIHUECO Y OTROS (BB)</t>
        </is>
      </c>
      <c r="F596" t="inlineStr">
        <is>
          <t>PIRA</t>
        </is>
      </c>
      <c r="G596" t="n">
        <v>720</v>
      </c>
      <c r="H596" t="n">
        <v>0</v>
      </c>
      <c r="I596" t="n">
        <v>10</v>
      </c>
      <c r="J596" t="n">
        <v>54</v>
      </c>
      <c r="K596" t="n">
        <v>0</v>
      </c>
      <c r="L596" t="n">
        <v>148.94</v>
      </c>
      <c r="M596" t="n">
        <v>0</v>
      </c>
      <c r="N596" t="n">
        <v>60</v>
      </c>
      <c r="O596" t="n">
        <v>100</v>
      </c>
      <c r="P596" t="n">
        <v>14.89</v>
      </c>
    </row>
    <row r="597">
      <c r="A597" t="n">
        <v>827513</v>
      </c>
      <c r="B597" t="inlineStr">
        <is>
          <t>14-05-2026</t>
        </is>
      </c>
      <c r="C597" t="inlineStr">
        <is>
          <t>TEA08</t>
        </is>
      </c>
      <c r="D597" t="inlineStr">
        <is>
          <t>FORWINCH</t>
        </is>
      </c>
      <c r="E597" t="inlineStr">
        <is>
          <t>COIHUECO Y OTROS (BB)</t>
        </is>
      </c>
      <c r="F597" t="inlineStr">
        <is>
          <t>PIRA</t>
        </is>
      </c>
      <c r="G597" t="n">
        <v>720</v>
      </c>
      <c r="H597" t="n">
        <v>0</v>
      </c>
      <c r="I597" t="n">
        <v>10</v>
      </c>
      <c r="J597" t="n">
        <v>54</v>
      </c>
      <c r="K597" t="n">
        <v>0</v>
      </c>
      <c r="L597" t="n">
        <v>5.06</v>
      </c>
      <c r="M597" t="n">
        <v>0</v>
      </c>
      <c r="N597" t="n">
        <v>60</v>
      </c>
      <c r="O597" t="n">
        <v>100</v>
      </c>
      <c r="P597" t="n">
        <v>0.51</v>
      </c>
    </row>
    <row r="598">
      <c r="A598" t="n">
        <v>827524</v>
      </c>
      <c r="B598" t="inlineStr">
        <is>
          <t>14-05-2026</t>
        </is>
      </c>
      <c r="C598" t="inlineStr">
        <is>
          <t>S58</t>
        </is>
      </c>
      <c r="D598" t="inlineStr">
        <is>
          <t>SKIDDER</t>
        </is>
      </c>
      <c r="E598" t="inlineStr">
        <is>
          <t>COIHUECO Y OTROS (BB)</t>
        </is>
      </c>
      <c r="F598" t="inlineStr">
        <is>
          <t>PIRA</t>
        </is>
      </c>
      <c r="G598" t="n">
        <v>120</v>
      </c>
      <c r="H598" t="n">
        <v>0</v>
      </c>
      <c r="I598" t="n">
        <v>2</v>
      </c>
      <c r="J598" t="n">
        <v>23</v>
      </c>
      <c r="K598" t="n">
        <v>0</v>
      </c>
      <c r="L598" t="n">
        <v>70.47</v>
      </c>
      <c r="M598" t="n">
        <v>0</v>
      </c>
      <c r="N598" t="n">
        <v>0</v>
      </c>
      <c r="O598" t="n">
        <v>100</v>
      </c>
      <c r="P598" t="n">
        <v>35.23</v>
      </c>
    </row>
    <row r="599">
      <c r="A599" t="n">
        <v>827524</v>
      </c>
      <c r="B599" t="inlineStr">
        <is>
          <t>14-05-2026</t>
        </is>
      </c>
      <c r="C599" t="inlineStr">
        <is>
          <t>S58</t>
        </is>
      </c>
      <c r="D599" t="inlineStr">
        <is>
          <t>SKIDDER</t>
        </is>
      </c>
      <c r="E599" t="inlineStr">
        <is>
          <t>COIHUECO Y OTROS (BB)</t>
        </is>
      </c>
      <c r="F599" t="inlineStr">
        <is>
          <t>PIRA</t>
        </is>
      </c>
      <c r="G599" t="n">
        <v>120</v>
      </c>
      <c r="H599" t="n">
        <v>0</v>
      </c>
      <c r="I599" t="n">
        <v>2</v>
      </c>
      <c r="J599" t="n">
        <v>23</v>
      </c>
      <c r="K599" t="n">
        <v>0</v>
      </c>
      <c r="L599" t="n">
        <v>13.36</v>
      </c>
      <c r="M599" t="n">
        <v>0</v>
      </c>
      <c r="N599" t="n">
        <v>0</v>
      </c>
      <c r="O599" t="n">
        <v>100</v>
      </c>
      <c r="P599" t="n">
        <v>6.68</v>
      </c>
    </row>
    <row r="600">
      <c r="A600" t="n">
        <v>827604</v>
      </c>
      <c r="B600" t="inlineStr">
        <is>
          <t>15-05-2026</t>
        </is>
      </c>
      <c r="C600" t="inlineStr">
        <is>
          <t>S58</t>
        </is>
      </c>
      <c r="D600" t="inlineStr">
        <is>
          <t>SKIDDER</t>
        </is>
      </c>
      <c r="E600" t="inlineStr">
        <is>
          <t>COIHUECO Y OTROS (BB)</t>
        </is>
      </c>
      <c r="F600" t="inlineStr">
        <is>
          <t>EUGL</t>
        </is>
      </c>
      <c r="G600" t="n">
        <v>480</v>
      </c>
      <c r="H600" t="n">
        <v>0</v>
      </c>
      <c r="I600" t="n">
        <v>7</v>
      </c>
      <c r="J600" t="n">
        <v>49</v>
      </c>
      <c r="K600" t="n">
        <v>0</v>
      </c>
      <c r="L600" t="n">
        <v>34.93</v>
      </c>
      <c r="M600" t="n">
        <v>0</v>
      </c>
      <c r="N600" t="n">
        <v>0</v>
      </c>
      <c r="O600" t="n">
        <v>100</v>
      </c>
      <c r="P600" t="n">
        <v>4.99</v>
      </c>
    </row>
    <row r="601">
      <c r="A601" t="n">
        <v>827604</v>
      </c>
      <c r="B601" t="inlineStr">
        <is>
          <t>15-05-2026</t>
        </is>
      </c>
      <c r="C601" t="inlineStr">
        <is>
          <t>S58</t>
        </is>
      </c>
      <c r="D601" t="inlineStr">
        <is>
          <t>SKIDDER</t>
        </is>
      </c>
      <c r="E601" t="inlineStr">
        <is>
          <t>COIHUECO Y OTROS (BB)</t>
        </is>
      </c>
      <c r="F601" t="inlineStr">
        <is>
          <t>PIRA</t>
        </is>
      </c>
      <c r="G601" t="n">
        <v>480</v>
      </c>
      <c r="H601" t="n">
        <v>0</v>
      </c>
      <c r="I601" t="n">
        <v>7</v>
      </c>
      <c r="J601" t="n">
        <v>49</v>
      </c>
      <c r="K601" t="n">
        <v>0</v>
      </c>
      <c r="L601" t="n">
        <v>21.23</v>
      </c>
      <c r="M601" t="n">
        <v>0</v>
      </c>
      <c r="N601" t="n">
        <v>0</v>
      </c>
      <c r="O601" t="n">
        <v>100</v>
      </c>
      <c r="P601" t="n">
        <v>3.03</v>
      </c>
    </row>
    <row r="602">
      <c r="A602" t="n">
        <v>827604</v>
      </c>
      <c r="B602" t="inlineStr">
        <is>
          <t>15-05-2026</t>
        </is>
      </c>
      <c r="C602" t="inlineStr">
        <is>
          <t>S58</t>
        </is>
      </c>
      <c r="D602" t="inlineStr">
        <is>
          <t>SKIDDER</t>
        </is>
      </c>
      <c r="E602" t="inlineStr">
        <is>
          <t>COIHUECO Y OTROS (BB)</t>
        </is>
      </c>
      <c r="F602" t="inlineStr">
        <is>
          <t>PIRA</t>
        </is>
      </c>
      <c r="G602" t="n">
        <v>480</v>
      </c>
      <c r="H602" t="n">
        <v>0</v>
      </c>
      <c r="I602" t="n">
        <v>7</v>
      </c>
      <c r="J602" t="n">
        <v>49</v>
      </c>
      <c r="K602" t="n">
        <v>0</v>
      </c>
      <c r="L602" t="n">
        <v>17.23</v>
      </c>
      <c r="M602" t="n">
        <v>0</v>
      </c>
      <c r="N602" t="n">
        <v>0</v>
      </c>
      <c r="O602" t="n">
        <v>100</v>
      </c>
      <c r="P602" t="n">
        <v>2.46</v>
      </c>
    </row>
    <row r="603">
      <c r="A603" t="n">
        <v>827604</v>
      </c>
      <c r="B603" t="inlineStr">
        <is>
          <t>15-05-2026</t>
        </is>
      </c>
      <c r="C603" t="inlineStr">
        <is>
          <t>S58</t>
        </is>
      </c>
      <c r="D603" t="inlineStr">
        <is>
          <t>SKIDDER</t>
        </is>
      </c>
      <c r="E603" t="inlineStr">
        <is>
          <t>COIHUECO Y OTROS (BB)</t>
        </is>
      </c>
      <c r="F603" t="inlineStr">
        <is>
          <t>PIRA</t>
        </is>
      </c>
      <c r="G603" t="n">
        <v>480</v>
      </c>
      <c r="H603" t="n">
        <v>0</v>
      </c>
      <c r="I603" t="n">
        <v>7</v>
      </c>
      <c r="J603" t="n">
        <v>49</v>
      </c>
      <c r="K603" t="n">
        <v>0</v>
      </c>
      <c r="L603" t="n">
        <v>26.78</v>
      </c>
      <c r="M603" t="n">
        <v>0</v>
      </c>
      <c r="N603" t="n">
        <v>0</v>
      </c>
      <c r="O603" t="n">
        <v>100</v>
      </c>
      <c r="P603" t="n">
        <v>3.83</v>
      </c>
    </row>
    <row r="604">
      <c r="A604" t="n">
        <v>827604</v>
      </c>
      <c r="B604" t="inlineStr">
        <is>
          <t>15-05-2026</t>
        </is>
      </c>
      <c r="C604" t="inlineStr">
        <is>
          <t>S58</t>
        </is>
      </c>
      <c r="D604" t="inlineStr">
        <is>
          <t>SKIDDER</t>
        </is>
      </c>
      <c r="E604" t="inlineStr">
        <is>
          <t>COIHUECO Y OTROS (BB)</t>
        </is>
      </c>
      <c r="F604" t="inlineStr">
        <is>
          <t>PIRA</t>
        </is>
      </c>
      <c r="G604" t="n">
        <v>480</v>
      </c>
      <c r="H604" t="n">
        <v>0</v>
      </c>
      <c r="I604" t="n">
        <v>7</v>
      </c>
      <c r="J604" t="n">
        <v>49</v>
      </c>
      <c r="K604" t="n">
        <v>0</v>
      </c>
      <c r="L604" t="n">
        <v>13.91</v>
      </c>
      <c r="M604" t="n">
        <v>0</v>
      </c>
      <c r="N604" t="n">
        <v>0</v>
      </c>
      <c r="O604" t="n">
        <v>100</v>
      </c>
      <c r="P604" t="n">
        <v>1.99</v>
      </c>
    </row>
    <row r="605">
      <c r="A605" t="n">
        <v>827605</v>
      </c>
      <c r="B605" t="inlineStr">
        <is>
          <t>15-05-2026</t>
        </is>
      </c>
      <c r="C605" t="inlineStr">
        <is>
          <t>S58</t>
        </is>
      </c>
      <c r="D605" t="inlineStr">
        <is>
          <t>SKIDDER</t>
        </is>
      </c>
      <c r="E605" t="inlineStr">
        <is>
          <t>COIHUECO Y OTROS (BB)</t>
        </is>
      </c>
      <c r="F605" t="inlineStr">
        <is>
          <t>PIRA</t>
        </is>
      </c>
      <c r="G605" t="n">
        <v>240</v>
      </c>
      <c r="H605" t="n">
        <v>0</v>
      </c>
      <c r="I605" t="n">
        <v>2</v>
      </c>
      <c r="J605" t="n">
        <v>14</v>
      </c>
      <c r="K605" t="n">
        <v>0</v>
      </c>
      <c r="L605" t="n">
        <v>31.48</v>
      </c>
      <c r="M605" t="n">
        <v>120</v>
      </c>
      <c r="N605" t="n">
        <v>120</v>
      </c>
      <c r="O605" t="n">
        <v>99.2</v>
      </c>
      <c r="P605" t="n">
        <v>15.74</v>
      </c>
    </row>
    <row r="606">
      <c r="A606" t="n">
        <v>827605</v>
      </c>
      <c r="B606" t="inlineStr">
        <is>
          <t>15-05-2026</t>
        </is>
      </c>
      <c r="C606" t="inlineStr">
        <is>
          <t>S58</t>
        </is>
      </c>
      <c r="D606" t="inlineStr">
        <is>
          <t>SKIDDER</t>
        </is>
      </c>
      <c r="E606" t="inlineStr">
        <is>
          <t>COIHUECO Y OTROS (BB)</t>
        </is>
      </c>
      <c r="F606" t="inlineStr">
        <is>
          <t>PIRA</t>
        </is>
      </c>
      <c r="G606" t="n">
        <v>240</v>
      </c>
      <c r="H606" t="n">
        <v>0</v>
      </c>
      <c r="I606" t="n">
        <v>2</v>
      </c>
      <c r="J606" t="n">
        <v>14</v>
      </c>
      <c r="K606" t="n">
        <v>0</v>
      </c>
      <c r="L606" t="n">
        <v>21.25</v>
      </c>
      <c r="M606" t="n">
        <v>120</v>
      </c>
      <c r="N606" t="n">
        <v>120</v>
      </c>
      <c r="O606" t="n">
        <v>99.2</v>
      </c>
      <c r="P606" t="n">
        <v>10.62</v>
      </c>
    </row>
    <row r="607">
      <c r="A607" t="n">
        <v>827611</v>
      </c>
      <c r="B607" t="inlineStr">
        <is>
          <t>15-05-2026</t>
        </is>
      </c>
      <c r="C607" t="inlineStr">
        <is>
          <t>S123</t>
        </is>
      </c>
      <c r="D607" t="inlineStr">
        <is>
          <t>SKIDDER</t>
        </is>
      </c>
      <c r="E607" t="inlineStr">
        <is>
          <t>QUIRIQUINO</t>
        </is>
      </c>
      <c r="F607" t="inlineStr">
        <is>
          <t>PIRA</t>
        </is>
      </c>
      <c r="G607" t="n">
        <v>720</v>
      </c>
      <c r="H607" t="n">
        <v>0</v>
      </c>
      <c r="I607" t="n">
        <v>9</v>
      </c>
      <c r="J607" t="n">
        <v>68</v>
      </c>
      <c r="K607" t="n">
        <v>0</v>
      </c>
      <c r="L607" t="n">
        <v>64.89</v>
      </c>
      <c r="M607" t="n">
        <v>60</v>
      </c>
      <c r="N607" t="n">
        <v>120</v>
      </c>
      <c r="O607" t="n">
        <v>99.90000000000001</v>
      </c>
      <c r="P607" t="n">
        <v>7.21</v>
      </c>
    </row>
    <row r="608">
      <c r="A608" t="n">
        <v>827611</v>
      </c>
      <c r="B608" t="inlineStr">
        <is>
          <t>15-05-2026</t>
        </is>
      </c>
      <c r="C608" t="inlineStr">
        <is>
          <t>S123</t>
        </is>
      </c>
      <c r="D608" t="inlineStr">
        <is>
          <t>SKIDDER</t>
        </is>
      </c>
      <c r="E608" t="inlineStr">
        <is>
          <t>QUIRIQUINO</t>
        </is>
      </c>
      <c r="F608" t="inlineStr">
        <is>
          <t>PIRA</t>
        </is>
      </c>
      <c r="G608" t="n">
        <v>720</v>
      </c>
      <c r="H608" t="n">
        <v>0</v>
      </c>
      <c r="I608" t="n">
        <v>9</v>
      </c>
      <c r="J608" t="n">
        <v>68</v>
      </c>
      <c r="K608" t="n">
        <v>0</v>
      </c>
      <c r="L608" t="n">
        <v>45.04</v>
      </c>
      <c r="M608" t="n">
        <v>60</v>
      </c>
      <c r="N608" t="n">
        <v>120</v>
      </c>
      <c r="O608" t="n">
        <v>99.90000000000001</v>
      </c>
      <c r="P608" t="n">
        <v>5</v>
      </c>
    </row>
    <row r="609">
      <c r="A609" t="n">
        <v>827611</v>
      </c>
      <c r="B609" t="inlineStr">
        <is>
          <t>15-05-2026</t>
        </is>
      </c>
      <c r="C609" t="inlineStr">
        <is>
          <t>S123</t>
        </is>
      </c>
      <c r="D609" t="inlineStr">
        <is>
          <t>SKIDDER</t>
        </is>
      </c>
      <c r="E609" t="inlineStr">
        <is>
          <t>QUIRIQUINO</t>
        </is>
      </c>
      <c r="F609" t="inlineStr">
        <is>
          <t>PIRA</t>
        </is>
      </c>
      <c r="G609" t="n">
        <v>720</v>
      </c>
      <c r="H609" t="n">
        <v>0</v>
      </c>
      <c r="I609" t="n">
        <v>9</v>
      </c>
      <c r="J609" t="n">
        <v>68</v>
      </c>
      <c r="K609" t="n">
        <v>0</v>
      </c>
      <c r="L609" t="n">
        <v>7.71</v>
      </c>
      <c r="M609" t="n">
        <v>60</v>
      </c>
      <c r="N609" t="n">
        <v>120</v>
      </c>
      <c r="O609" t="n">
        <v>99.90000000000001</v>
      </c>
      <c r="P609" t="n">
        <v>0.86</v>
      </c>
    </row>
    <row r="610">
      <c r="A610" t="n">
        <v>827611</v>
      </c>
      <c r="B610" t="inlineStr">
        <is>
          <t>15-05-2026</t>
        </is>
      </c>
      <c r="C610" t="inlineStr">
        <is>
          <t>S123</t>
        </is>
      </c>
      <c r="D610" t="inlineStr">
        <is>
          <t>SKIDDER</t>
        </is>
      </c>
      <c r="E610" t="inlineStr">
        <is>
          <t>QUIRIQUINO</t>
        </is>
      </c>
      <c r="F610" t="inlineStr">
        <is>
          <t>PIRA</t>
        </is>
      </c>
      <c r="G610" t="n">
        <v>720</v>
      </c>
      <c r="H610" t="n">
        <v>0</v>
      </c>
      <c r="I610" t="n">
        <v>9</v>
      </c>
      <c r="J610" t="n">
        <v>68</v>
      </c>
      <c r="K610" t="n">
        <v>0</v>
      </c>
      <c r="L610" t="n">
        <v>57.14</v>
      </c>
      <c r="M610" t="n">
        <v>60</v>
      </c>
      <c r="N610" t="n">
        <v>120</v>
      </c>
      <c r="O610" t="n">
        <v>99.90000000000001</v>
      </c>
      <c r="P610" t="n">
        <v>6.35</v>
      </c>
    </row>
    <row r="611">
      <c r="A611" t="n">
        <v>827611</v>
      </c>
      <c r="B611" t="inlineStr">
        <is>
          <t>15-05-2026</t>
        </is>
      </c>
      <c r="C611" t="inlineStr">
        <is>
          <t>S123</t>
        </is>
      </c>
      <c r="D611" t="inlineStr">
        <is>
          <t>SKIDDER</t>
        </is>
      </c>
      <c r="E611" t="inlineStr">
        <is>
          <t>QUIRIQUINO</t>
        </is>
      </c>
      <c r="F611" t="inlineStr">
        <is>
          <t>PIRA</t>
        </is>
      </c>
      <c r="G611" t="n">
        <v>720</v>
      </c>
      <c r="H611" t="n">
        <v>0</v>
      </c>
      <c r="I611" t="n">
        <v>9</v>
      </c>
      <c r="J611" t="n">
        <v>68</v>
      </c>
      <c r="K611" t="n">
        <v>0</v>
      </c>
      <c r="L611" t="n">
        <v>215.65</v>
      </c>
      <c r="M611" t="n">
        <v>60</v>
      </c>
      <c r="N611" t="n">
        <v>120</v>
      </c>
      <c r="O611" t="n">
        <v>99.90000000000001</v>
      </c>
      <c r="P611" t="n">
        <v>23.96</v>
      </c>
    </row>
    <row r="612">
      <c r="A612" t="n">
        <v>827618</v>
      </c>
      <c r="B612" t="inlineStr">
        <is>
          <t>15-05-2026</t>
        </is>
      </c>
      <c r="C612" t="inlineStr">
        <is>
          <t>MG5</t>
        </is>
      </c>
      <c r="D612" t="inlineStr">
        <is>
          <t>GRAPPLE</t>
        </is>
      </c>
      <c r="E612" t="inlineStr">
        <is>
          <t>CE-27 ESPINALILLO YBAR</t>
        </is>
      </c>
      <c r="F612" t="inlineStr">
        <is>
          <t>PIRA</t>
        </is>
      </c>
      <c r="G612" t="n">
        <v>720</v>
      </c>
      <c r="H612" t="n">
        <v>0</v>
      </c>
      <c r="I612" t="n">
        <v>11</v>
      </c>
      <c r="J612" t="n">
        <v>150</v>
      </c>
      <c r="K612" t="n">
        <v>0</v>
      </c>
      <c r="L612" t="n">
        <v>4.34</v>
      </c>
      <c r="M612" t="n">
        <v>0</v>
      </c>
      <c r="N612" t="n">
        <v>0</v>
      </c>
      <c r="O612" t="n">
        <v>100</v>
      </c>
      <c r="P612" t="n">
        <v>0.39</v>
      </c>
    </row>
    <row r="613">
      <c r="A613" t="n">
        <v>827618</v>
      </c>
      <c r="B613" t="inlineStr">
        <is>
          <t>15-05-2026</t>
        </is>
      </c>
      <c r="C613" t="inlineStr">
        <is>
          <t>MG5</t>
        </is>
      </c>
      <c r="D613" t="inlineStr">
        <is>
          <t>GRAPPLE</t>
        </is>
      </c>
      <c r="E613" t="inlineStr">
        <is>
          <t>CE-27 ESPINALILLO YBAR</t>
        </is>
      </c>
      <c r="F613" t="inlineStr">
        <is>
          <t>PIRA</t>
        </is>
      </c>
      <c r="G613" t="n">
        <v>720</v>
      </c>
      <c r="H613" t="n">
        <v>0</v>
      </c>
      <c r="I613" t="n">
        <v>11</v>
      </c>
      <c r="J613" t="n">
        <v>150</v>
      </c>
      <c r="K613" t="n">
        <v>0</v>
      </c>
      <c r="L613" t="n">
        <v>174.48</v>
      </c>
      <c r="M613" t="n">
        <v>0</v>
      </c>
      <c r="N613" t="n">
        <v>0</v>
      </c>
      <c r="O613" t="n">
        <v>100</v>
      </c>
      <c r="P613" t="n">
        <v>15.86</v>
      </c>
    </row>
    <row r="614">
      <c r="A614" t="n">
        <v>827618</v>
      </c>
      <c r="B614" t="inlineStr">
        <is>
          <t>15-05-2026</t>
        </is>
      </c>
      <c r="C614" t="inlineStr">
        <is>
          <t>MG5</t>
        </is>
      </c>
      <c r="D614" t="inlineStr">
        <is>
          <t>GRAPPLE</t>
        </is>
      </c>
      <c r="E614" t="inlineStr">
        <is>
          <t>CE-27 ESPINALILLO YBAR</t>
        </is>
      </c>
      <c r="F614" t="inlineStr">
        <is>
          <t>PIRA</t>
        </is>
      </c>
      <c r="G614" t="n">
        <v>720</v>
      </c>
      <c r="H614" t="n">
        <v>0</v>
      </c>
      <c r="I614" t="n">
        <v>11</v>
      </c>
      <c r="J614" t="n">
        <v>150</v>
      </c>
      <c r="K614" t="n">
        <v>0</v>
      </c>
      <c r="L614" t="n">
        <v>70.63</v>
      </c>
      <c r="M614" t="n">
        <v>0</v>
      </c>
      <c r="N614" t="n">
        <v>0</v>
      </c>
      <c r="O614" t="n">
        <v>100</v>
      </c>
      <c r="P614" t="n">
        <v>6.42</v>
      </c>
    </row>
    <row r="615">
      <c r="A615" t="n">
        <v>827630</v>
      </c>
      <c r="B615" t="inlineStr">
        <is>
          <t>15-05-2026</t>
        </is>
      </c>
      <c r="C615" t="inlineStr">
        <is>
          <t>TEA02</t>
        </is>
      </c>
      <c r="D615" t="inlineStr">
        <is>
          <t>FORWINCH</t>
        </is>
      </c>
      <c r="E615" t="inlineStr">
        <is>
          <t>LOMA DE LA VACA</t>
        </is>
      </c>
      <c r="F615" t="inlineStr">
        <is>
          <t>PIRA</t>
        </is>
      </c>
      <c r="G615" t="n">
        <v>720</v>
      </c>
      <c r="H615" t="n">
        <v>0</v>
      </c>
      <c r="I615" t="n">
        <v>10.5</v>
      </c>
      <c r="J615" t="n">
        <v>33</v>
      </c>
      <c r="K615" t="n">
        <v>0</v>
      </c>
      <c r="L615" t="n">
        <v>148.43</v>
      </c>
      <c r="M615" t="n">
        <v>0</v>
      </c>
      <c r="N615" t="n">
        <v>30</v>
      </c>
      <c r="O615" t="n">
        <v>100</v>
      </c>
      <c r="P615" t="n">
        <v>14.14</v>
      </c>
    </row>
    <row r="616">
      <c r="A616" t="n">
        <v>827630</v>
      </c>
      <c r="B616" t="inlineStr">
        <is>
          <t>15-05-2026</t>
        </is>
      </c>
      <c r="C616" t="inlineStr">
        <is>
          <t>TEA02</t>
        </is>
      </c>
      <c r="D616" t="inlineStr">
        <is>
          <t>FORWINCH</t>
        </is>
      </c>
      <c r="E616" t="inlineStr">
        <is>
          <t>LOMA DE LA VACA</t>
        </is>
      </c>
      <c r="F616" t="inlineStr">
        <is>
          <t>PIRA</t>
        </is>
      </c>
      <c r="G616" t="n">
        <v>720</v>
      </c>
      <c r="H616" t="n">
        <v>0</v>
      </c>
      <c r="I616" t="n">
        <v>10.5</v>
      </c>
      <c r="J616" t="n">
        <v>33</v>
      </c>
      <c r="K616" t="n">
        <v>0</v>
      </c>
      <c r="L616" t="n">
        <v>90.14</v>
      </c>
      <c r="M616" t="n">
        <v>0</v>
      </c>
      <c r="N616" t="n">
        <v>30</v>
      </c>
      <c r="O616" t="n">
        <v>100</v>
      </c>
      <c r="P616" t="n">
        <v>8.59</v>
      </c>
    </row>
    <row r="617">
      <c r="A617" t="n">
        <v>827647</v>
      </c>
      <c r="B617" t="inlineStr">
        <is>
          <t>15-05-2026</t>
        </is>
      </c>
      <c r="C617" t="inlineStr">
        <is>
          <t>S246</t>
        </is>
      </c>
      <c r="D617" t="inlineStr">
        <is>
          <t>SKIDDER</t>
        </is>
      </c>
      <c r="E617" t="inlineStr">
        <is>
          <t>LAS MERCEDES C13</t>
        </is>
      </c>
      <c r="F617" t="inlineStr">
        <is>
          <t>PIRA</t>
        </is>
      </c>
      <c r="G617" t="n">
        <v>720</v>
      </c>
      <c r="H617" t="n">
        <v>0</v>
      </c>
      <c r="I617" t="n">
        <v>8</v>
      </c>
      <c r="J617" t="n">
        <v>70</v>
      </c>
      <c r="K617" t="n">
        <v>0</v>
      </c>
      <c r="L617" t="n">
        <v>91.56999999999999</v>
      </c>
      <c r="M617" t="n">
        <v>150</v>
      </c>
      <c r="N617" t="n">
        <v>180</v>
      </c>
      <c r="O617" t="n">
        <v>99.7</v>
      </c>
      <c r="P617" t="n">
        <v>11.45</v>
      </c>
    </row>
    <row r="618">
      <c r="A618" t="n">
        <v>827647</v>
      </c>
      <c r="B618" t="inlineStr">
        <is>
          <t>15-05-2026</t>
        </is>
      </c>
      <c r="C618" t="inlineStr">
        <is>
          <t>S246</t>
        </is>
      </c>
      <c r="D618" t="inlineStr">
        <is>
          <t>SKIDDER</t>
        </is>
      </c>
      <c r="E618" t="inlineStr">
        <is>
          <t>LAS MERCEDES C13</t>
        </is>
      </c>
      <c r="F618" t="inlineStr">
        <is>
          <t>PIRA</t>
        </is>
      </c>
      <c r="G618" t="n">
        <v>720</v>
      </c>
      <c r="H618" t="n">
        <v>0</v>
      </c>
      <c r="I618" t="n">
        <v>8</v>
      </c>
      <c r="J618" t="n">
        <v>70</v>
      </c>
      <c r="K618" t="n">
        <v>0</v>
      </c>
      <c r="L618" t="n">
        <v>39.9</v>
      </c>
      <c r="M618" t="n">
        <v>150</v>
      </c>
      <c r="N618" t="n">
        <v>180</v>
      </c>
      <c r="O618" t="n">
        <v>99.7</v>
      </c>
      <c r="P618" t="n">
        <v>4.99</v>
      </c>
    </row>
    <row r="619">
      <c r="A619" t="n">
        <v>827650</v>
      </c>
      <c r="B619" t="inlineStr">
        <is>
          <t>15-05-2026</t>
        </is>
      </c>
      <c r="C619" t="inlineStr">
        <is>
          <t>S223</t>
        </is>
      </c>
      <c r="D619" t="inlineStr">
        <is>
          <t>SKIDDER</t>
        </is>
      </c>
      <c r="E619" t="inlineStr">
        <is>
          <t>LAS ULLOAS (BB)</t>
        </is>
      </c>
      <c r="F619" t="inlineStr">
        <is>
          <t>PIRA</t>
        </is>
      </c>
      <c r="G619" t="n">
        <v>720</v>
      </c>
      <c r="H619" t="n">
        <v>0</v>
      </c>
      <c r="I619" t="n">
        <v>6</v>
      </c>
      <c r="J619" t="n">
        <v>22</v>
      </c>
      <c r="K619" t="n">
        <v>0</v>
      </c>
      <c r="L619" t="n">
        <v>4.55</v>
      </c>
      <c r="M619" t="n">
        <v>300</v>
      </c>
      <c r="N619" t="n">
        <v>300</v>
      </c>
      <c r="O619" t="n">
        <v>99.3</v>
      </c>
      <c r="P619" t="n">
        <v>0.76</v>
      </c>
    </row>
    <row r="620">
      <c r="A620" t="n">
        <v>827650</v>
      </c>
      <c r="B620" t="inlineStr">
        <is>
          <t>15-05-2026</t>
        </is>
      </c>
      <c r="C620" t="inlineStr">
        <is>
          <t>S223</t>
        </is>
      </c>
      <c r="D620" t="inlineStr">
        <is>
          <t>SKIDDER</t>
        </is>
      </c>
      <c r="E620" t="inlineStr">
        <is>
          <t>LAS ULLOAS (BB)</t>
        </is>
      </c>
      <c r="F620" t="inlineStr">
        <is>
          <t>PIRA</t>
        </is>
      </c>
      <c r="G620" t="n">
        <v>720</v>
      </c>
      <c r="H620" t="n">
        <v>0</v>
      </c>
      <c r="I620" t="n">
        <v>6</v>
      </c>
      <c r="J620" t="n">
        <v>22</v>
      </c>
      <c r="K620" t="n">
        <v>0</v>
      </c>
      <c r="L620" t="n">
        <v>18.68</v>
      </c>
      <c r="M620" t="n">
        <v>300</v>
      </c>
      <c r="N620" t="n">
        <v>300</v>
      </c>
      <c r="O620" t="n">
        <v>99.3</v>
      </c>
      <c r="P620" t="n">
        <v>3.11</v>
      </c>
    </row>
    <row r="621">
      <c r="A621" t="n">
        <v>827650</v>
      </c>
      <c r="B621" t="inlineStr">
        <is>
          <t>15-05-2026</t>
        </is>
      </c>
      <c r="C621" t="inlineStr">
        <is>
          <t>S223</t>
        </is>
      </c>
      <c r="D621" t="inlineStr">
        <is>
          <t>SKIDDER</t>
        </is>
      </c>
      <c r="E621" t="inlineStr">
        <is>
          <t>LAS ULLOAS (BB)</t>
        </is>
      </c>
      <c r="F621" t="inlineStr">
        <is>
          <t>PIRA</t>
        </is>
      </c>
      <c r="G621" t="n">
        <v>720</v>
      </c>
      <c r="H621" t="n">
        <v>0</v>
      </c>
      <c r="I621" t="n">
        <v>6</v>
      </c>
      <c r="J621" t="n">
        <v>22</v>
      </c>
      <c r="K621" t="n">
        <v>0</v>
      </c>
      <c r="L621" t="n">
        <v>38.94</v>
      </c>
      <c r="M621" t="n">
        <v>300</v>
      </c>
      <c r="N621" t="n">
        <v>300</v>
      </c>
      <c r="O621" t="n">
        <v>99.3</v>
      </c>
      <c r="P621" t="n">
        <v>6.49</v>
      </c>
    </row>
    <row r="622">
      <c r="A622" t="n">
        <v>827650</v>
      </c>
      <c r="B622" t="inlineStr">
        <is>
          <t>15-05-2026</t>
        </is>
      </c>
      <c r="C622" t="inlineStr">
        <is>
          <t>S223</t>
        </is>
      </c>
      <c r="D622" t="inlineStr">
        <is>
          <t>SKIDDER</t>
        </is>
      </c>
      <c r="E622" t="inlineStr">
        <is>
          <t>LAS ULLOAS (BB)</t>
        </is>
      </c>
      <c r="F622" t="inlineStr">
        <is>
          <t>PIRA</t>
        </is>
      </c>
      <c r="G622" t="n">
        <v>720</v>
      </c>
      <c r="H622" t="n">
        <v>0</v>
      </c>
      <c r="I622" t="n">
        <v>6</v>
      </c>
      <c r="J622" t="n">
        <v>22</v>
      </c>
      <c r="K622" t="n">
        <v>0</v>
      </c>
      <c r="L622" t="n">
        <v>27.72</v>
      </c>
      <c r="M622" t="n">
        <v>300</v>
      </c>
      <c r="N622" t="n">
        <v>300</v>
      </c>
      <c r="O622" t="n">
        <v>99.3</v>
      </c>
      <c r="P622" t="n">
        <v>4.62</v>
      </c>
    </row>
    <row r="623">
      <c r="A623" t="n">
        <v>827652</v>
      </c>
      <c r="B623" t="inlineStr">
        <is>
          <t>15-05-2026</t>
        </is>
      </c>
      <c r="C623" t="inlineStr">
        <is>
          <t>TEA08</t>
        </is>
      </c>
      <c r="D623" t="inlineStr">
        <is>
          <t>FORWINCH</t>
        </is>
      </c>
      <c r="E623" t="inlineStr">
        <is>
          <t>COIHUECO Y OTROS (BB)</t>
        </is>
      </c>
      <c r="F623" t="inlineStr">
        <is>
          <t>PIRA</t>
        </is>
      </c>
      <c r="G623" t="n">
        <v>720</v>
      </c>
      <c r="H623" t="n">
        <v>0</v>
      </c>
      <c r="I623" t="n">
        <v>6</v>
      </c>
      <c r="J623" t="n">
        <v>38</v>
      </c>
      <c r="K623" t="n">
        <v>0</v>
      </c>
      <c r="L623" t="n">
        <v>39.9</v>
      </c>
      <c r="M623" t="n">
        <v>120</v>
      </c>
      <c r="N623" t="n">
        <v>300</v>
      </c>
      <c r="O623" t="n">
        <v>99.7</v>
      </c>
      <c r="P623" t="n">
        <v>6.65</v>
      </c>
    </row>
    <row r="624">
      <c r="A624" t="n">
        <v>827652</v>
      </c>
      <c r="B624" t="inlineStr">
        <is>
          <t>15-05-2026</t>
        </is>
      </c>
      <c r="C624" t="inlineStr">
        <is>
          <t>TEA08</t>
        </is>
      </c>
      <c r="D624" t="inlineStr">
        <is>
          <t>FORWINCH</t>
        </is>
      </c>
      <c r="E624" t="inlineStr">
        <is>
          <t>COIHUECO Y OTROS (BB)</t>
        </is>
      </c>
      <c r="F624" t="inlineStr">
        <is>
          <t>PIRA</t>
        </is>
      </c>
      <c r="G624" t="n">
        <v>720</v>
      </c>
      <c r="H624" t="n">
        <v>0</v>
      </c>
      <c r="I624" t="n">
        <v>6</v>
      </c>
      <c r="J624" t="n">
        <v>38</v>
      </c>
      <c r="K624" t="n">
        <v>0</v>
      </c>
      <c r="L624" t="n">
        <v>7.7</v>
      </c>
      <c r="M624" t="n">
        <v>120</v>
      </c>
      <c r="N624" t="n">
        <v>300</v>
      </c>
      <c r="O624" t="n">
        <v>99.7</v>
      </c>
      <c r="P624" t="n">
        <v>1.28</v>
      </c>
    </row>
    <row r="625">
      <c r="A625" t="n">
        <v>827652</v>
      </c>
      <c r="B625" t="inlineStr">
        <is>
          <t>15-05-2026</t>
        </is>
      </c>
      <c r="C625" t="inlineStr">
        <is>
          <t>TEA08</t>
        </is>
      </c>
      <c r="D625" t="inlineStr">
        <is>
          <t>FORWINCH</t>
        </is>
      </c>
      <c r="E625" t="inlineStr">
        <is>
          <t>COIHUECO Y OTROS (BB)</t>
        </is>
      </c>
      <c r="F625" t="inlineStr">
        <is>
          <t>PIRA</t>
        </is>
      </c>
      <c r="G625" t="n">
        <v>720</v>
      </c>
      <c r="H625" t="n">
        <v>0</v>
      </c>
      <c r="I625" t="n">
        <v>6</v>
      </c>
      <c r="J625" t="n">
        <v>38</v>
      </c>
      <c r="K625" t="n">
        <v>0</v>
      </c>
      <c r="L625" t="n">
        <v>28.89</v>
      </c>
      <c r="M625" t="n">
        <v>120</v>
      </c>
      <c r="N625" t="n">
        <v>300</v>
      </c>
      <c r="O625" t="n">
        <v>99.7</v>
      </c>
      <c r="P625" t="n">
        <v>4.81</v>
      </c>
    </row>
    <row r="626">
      <c r="A626" t="n">
        <v>827652</v>
      </c>
      <c r="B626" t="inlineStr">
        <is>
          <t>15-05-2026</t>
        </is>
      </c>
      <c r="C626" t="inlineStr">
        <is>
          <t>TEA08</t>
        </is>
      </c>
      <c r="D626" t="inlineStr">
        <is>
          <t>FORWINCH</t>
        </is>
      </c>
      <c r="E626" t="inlineStr">
        <is>
          <t>COIHUECO Y OTROS (BB)</t>
        </is>
      </c>
      <c r="F626" t="inlineStr">
        <is>
          <t>PIRA</t>
        </is>
      </c>
      <c r="G626" t="n">
        <v>720</v>
      </c>
      <c r="H626" t="n">
        <v>0</v>
      </c>
      <c r="I626" t="n">
        <v>6</v>
      </c>
      <c r="J626" t="n">
        <v>38</v>
      </c>
      <c r="K626" t="n">
        <v>0</v>
      </c>
      <c r="L626" t="n">
        <v>57.36</v>
      </c>
      <c r="M626" t="n">
        <v>120</v>
      </c>
      <c r="N626" t="n">
        <v>300</v>
      </c>
      <c r="O626" t="n">
        <v>99.7</v>
      </c>
      <c r="P626" t="n">
        <v>9.56</v>
      </c>
    </row>
    <row r="627">
      <c r="A627" t="n">
        <v>827652</v>
      </c>
      <c r="B627" t="inlineStr">
        <is>
          <t>15-05-2026</t>
        </is>
      </c>
      <c r="C627" t="inlineStr">
        <is>
          <t>TEA08</t>
        </is>
      </c>
      <c r="D627" t="inlineStr">
        <is>
          <t>FORWINCH</t>
        </is>
      </c>
      <c r="E627" t="inlineStr">
        <is>
          <t>COIHUECO Y OTROS (BB)</t>
        </is>
      </c>
      <c r="F627" t="inlineStr">
        <is>
          <t>PIRA</t>
        </is>
      </c>
      <c r="G627" t="n">
        <v>720</v>
      </c>
      <c r="H627" t="n">
        <v>0</v>
      </c>
      <c r="I627" t="n">
        <v>6</v>
      </c>
      <c r="J627" t="n">
        <v>38</v>
      </c>
      <c r="K627" t="n">
        <v>0</v>
      </c>
      <c r="L627" t="n">
        <v>23.3</v>
      </c>
      <c r="M627" t="n">
        <v>120</v>
      </c>
      <c r="N627" t="n">
        <v>300</v>
      </c>
      <c r="O627" t="n">
        <v>99.7</v>
      </c>
      <c r="P627" t="n">
        <v>3.88</v>
      </c>
    </row>
    <row r="628">
      <c r="A628" t="n">
        <v>827672</v>
      </c>
      <c r="B628" t="inlineStr">
        <is>
          <t>15-05-2026</t>
        </is>
      </c>
      <c r="C628" t="inlineStr">
        <is>
          <t>T125</t>
        </is>
      </c>
      <c r="D628" t="inlineStr">
        <is>
          <t>TORRE500</t>
        </is>
      </c>
      <c r="E628" t="inlineStr">
        <is>
          <t>POLHUIN</t>
        </is>
      </c>
      <c r="F628" t="inlineStr">
        <is>
          <t>EUGL</t>
        </is>
      </c>
      <c r="G628" t="n">
        <v>720</v>
      </c>
      <c r="H628" t="n">
        <v>0</v>
      </c>
      <c r="I628" t="n">
        <v>8</v>
      </c>
      <c r="J628" t="n">
        <v>65</v>
      </c>
      <c r="K628" t="n">
        <v>0</v>
      </c>
      <c r="L628" t="n">
        <v>41.96</v>
      </c>
      <c r="M628" t="n">
        <v>0</v>
      </c>
      <c r="N628" t="n">
        <v>180</v>
      </c>
      <c r="O628" t="n">
        <v>100</v>
      </c>
      <c r="P628" t="n">
        <v>5.24</v>
      </c>
    </row>
    <row r="629">
      <c r="A629" t="n">
        <v>827733</v>
      </c>
      <c r="B629" t="inlineStr">
        <is>
          <t>16-05-2026</t>
        </is>
      </c>
      <c r="C629" t="inlineStr">
        <is>
          <t>S58</t>
        </is>
      </c>
      <c r="D629" t="inlineStr">
        <is>
          <t>SKIDDER</t>
        </is>
      </c>
      <c r="E629" t="inlineStr">
        <is>
          <t>COIHUECO Y OTROS (BB)</t>
        </is>
      </c>
      <c r="F629" t="inlineStr">
        <is>
          <t>PIRA</t>
        </is>
      </c>
      <c r="G629" t="n">
        <v>600</v>
      </c>
      <c r="H629" t="n">
        <v>0</v>
      </c>
      <c r="I629" t="n">
        <v>8</v>
      </c>
      <c r="J629" t="n">
        <v>48</v>
      </c>
      <c r="K629" t="n">
        <v>0</v>
      </c>
      <c r="L629" t="n">
        <v>20.18</v>
      </c>
      <c r="M629" t="n">
        <v>60</v>
      </c>
      <c r="N629" t="n">
        <v>60</v>
      </c>
      <c r="O629" t="n">
        <v>99.8</v>
      </c>
      <c r="P629" t="n">
        <v>2.52</v>
      </c>
    </row>
    <row r="630">
      <c r="A630" t="n">
        <v>827733</v>
      </c>
      <c r="B630" t="inlineStr">
        <is>
          <t>16-05-2026</t>
        </is>
      </c>
      <c r="C630" t="inlineStr">
        <is>
          <t>S58</t>
        </is>
      </c>
      <c r="D630" t="inlineStr">
        <is>
          <t>SKIDDER</t>
        </is>
      </c>
      <c r="E630" t="inlineStr">
        <is>
          <t>COIHUECO Y OTROS (BB)</t>
        </is>
      </c>
      <c r="F630" t="inlineStr">
        <is>
          <t>PIRA</t>
        </is>
      </c>
      <c r="G630" t="n">
        <v>600</v>
      </c>
      <c r="H630" t="n">
        <v>0</v>
      </c>
      <c r="I630" t="n">
        <v>8</v>
      </c>
      <c r="J630" t="n">
        <v>48</v>
      </c>
      <c r="K630" t="n">
        <v>0</v>
      </c>
      <c r="L630" t="n">
        <v>31.2</v>
      </c>
      <c r="M630" t="n">
        <v>60</v>
      </c>
      <c r="N630" t="n">
        <v>60</v>
      </c>
      <c r="O630" t="n">
        <v>99.8</v>
      </c>
      <c r="P630" t="n">
        <v>3.9</v>
      </c>
    </row>
    <row r="631">
      <c r="A631" t="n">
        <v>827733</v>
      </c>
      <c r="B631" t="inlineStr">
        <is>
          <t>16-05-2026</t>
        </is>
      </c>
      <c r="C631" t="inlineStr">
        <is>
          <t>S58</t>
        </is>
      </c>
      <c r="D631" t="inlineStr">
        <is>
          <t>SKIDDER</t>
        </is>
      </c>
      <c r="E631" t="inlineStr">
        <is>
          <t>COIHUECO Y OTROS (BB)</t>
        </is>
      </c>
      <c r="F631" t="inlineStr">
        <is>
          <t>PIRA</t>
        </is>
      </c>
      <c r="G631" t="n">
        <v>600</v>
      </c>
      <c r="H631" t="n">
        <v>0</v>
      </c>
      <c r="I631" t="n">
        <v>8</v>
      </c>
      <c r="J631" t="n">
        <v>48</v>
      </c>
      <c r="K631" t="n">
        <v>0</v>
      </c>
      <c r="L631" t="n">
        <v>5.52</v>
      </c>
      <c r="M631" t="n">
        <v>60</v>
      </c>
      <c r="N631" t="n">
        <v>60</v>
      </c>
      <c r="O631" t="n">
        <v>99.8</v>
      </c>
      <c r="P631" t="n">
        <v>0.6899999999999999</v>
      </c>
    </row>
    <row r="632">
      <c r="A632" t="n">
        <v>827733</v>
      </c>
      <c r="B632" t="inlineStr">
        <is>
          <t>16-05-2026</t>
        </is>
      </c>
      <c r="C632" t="inlineStr">
        <is>
          <t>S58</t>
        </is>
      </c>
      <c r="D632" t="inlineStr">
        <is>
          <t>SKIDDER</t>
        </is>
      </c>
      <c r="E632" t="inlineStr">
        <is>
          <t>COIHUECO Y OTROS (BB)</t>
        </is>
      </c>
      <c r="F632" t="inlineStr">
        <is>
          <t>PIRA</t>
        </is>
      </c>
      <c r="G632" t="n">
        <v>600</v>
      </c>
      <c r="H632" t="n">
        <v>0</v>
      </c>
      <c r="I632" t="n">
        <v>8</v>
      </c>
      <c r="J632" t="n">
        <v>48</v>
      </c>
      <c r="K632" t="n">
        <v>0</v>
      </c>
      <c r="L632" t="n">
        <v>41.43</v>
      </c>
      <c r="M632" t="n">
        <v>60</v>
      </c>
      <c r="N632" t="n">
        <v>60</v>
      </c>
      <c r="O632" t="n">
        <v>99.8</v>
      </c>
      <c r="P632" t="n">
        <v>5.18</v>
      </c>
    </row>
    <row r="633">
      <c r="A633" t="n">
        <v>827733</v>
      </c>
      <c r="B633" t="inlineStr">
        <is>
          <t>16-05-2026</t>
        </is>
      </c>
      <c r="C633" t="inlineStr">
        <is>
          <t>S58</t>
        </is>
      </c>
      <c r="D633" t="inlineStr">
        <is>
          <t>SKIDDER</t>
        </is>
      </c>
      <c r="E633" t="inlineStr">
        <is>
          <t>COIHUECO Y OTROS (BB)</t>
        </is>
      </c>
      <c r="F633" t="inlineStr">
        <is>
          <t>PIRA</t>
        </is>
      </c>
      <c r="G633" t="n">
        <v>600</v>
      </c>
      <c r="H633" t="n">
        <v>0</v>
      </c>
      <c r="I633" t="n">
        <v>8</v>
      </c>
      <c r="J633" t="n">
        <v>48</v>
      </c>
      <c r="K633" t="n">
        <v>0</v>
      </c>
      <c r="L633" t="n">
        <v>22.61</v>
      </c>
      <c r="M633" t="n">
        <v>60</v>
      </c>
      <c r="N633" t="n">
        <v>60</v>
      </c>
      <c r="O633" t="n">
        <v>99.8</v>
      </c>
      <c r="P633" t="n">
        <v>2.83</v>
      </c>
    </row>
    <row r="634">
      <c r="A634" t="n">
        <v>827733</v>
      </c>
      <c r="B634" t="inlineStr">
        <is>
          <t>16-05-2026</t>
        </is>
      </c>
      <c r="C634" t="inlineStr">
        <is>
          <t>S58</t>
        </is>
      </c>
      <c r="D634" t="inlineStr">
        <is>
          <t>SKIDDER</t>
        </is>
      </c>
      <c r="E634" t="inlineStr">
        <is>
          <t>COIHUECO Y OTROS (BB)</t>
        </is>
      </c>
      <c r="F634" t="inlineStr">
        <is>
          <t>PIRA</t>
        </is>
      </c>
      <c r="G634" t="n">
        <v>600</v>
      </c>
      <c r="H634" t="n">
        <v>0</v>
      </c>
      <c r="I634" t="n">
        <v>8</v>
      </c>
      <c r="J634" t="n">
        <v>48</v>
      </c>
      <c r="K634" t="n">
        <v>0</v>
      </c>
      <c r="L634" t="n">
        <v>14.63</v>
      </c>
      <c r="M634" t="n">
        <v>60</v>
      </c>
      <c r="N634" t="n">
        <v>60</v>
      </c>
      <c r="O634" t="n">
        <v>99.8</v>
      </c>
      <c r="P634" t="n">
        <v>1.83</v>
      </c>
    </row>
    <row r="635">
      <c r="A635" t="n">
        <v>827734</v>
      </c>
      <c r="B635" t="inlineStr">
        <is>
          <t>16-05-2026</t>
        </is>
      </c>
      <c r="C635" t="inlineStr">
        <is>
          <t>S58</t>
        </is>
      </c>
      <c r="D635" t="inlineStr">
        <is>
          <t>SKIDDER</t>
        </is>
      </c>
      <c r="E635" t="inlineStr">
        <is>
          <t>COIHUECO Y OTROS (BB)</t>
        </is>
      </c>
      <c r="F635" t="inlineStr">
        <is>
          <t>PIRA</t>
        </is>
      </c>
      <c r="G635" t="n">
        <v>120</v>
      </c>
      <c r="H635" t="n">
        <v>0</v>
      </c>
      <c r="I635" t="n">
        <v>2</v>
      </c>
      <c r="J635" t="n">
        <v>16</v>
      </c>
      <c r="K635" t="n">
        <v>0</v>
      </c>
      <c r="L635" t="n">
        <v>12.61</v>
      </c>
      <c r="M635" t="n">
        <v>0</v>
      </c>
      <c r="N635" t="n">
        <v>0</v>
      </c>
      <c r="O635" t="n">
        <v>100</v>
      </c>
      <c r="P635" t="n">
        <v>6.3</v>
      </c>
    </row>
    <row r="636">
      <c r="A636" t="n">
        <v>827734</v>
      </c>
      <c r="B636" t="inlineStr">
        <is>
          <t>16-05-2026</t>
        </is>
      </c>
      <c r="C636" t="inlineStr">
        <is>
          <t>S58</t>
        </is>
      </c>
      <c r="D636" t="inlineStr">
        <is>
          <t>SKIDDER</t>
        </is>
      </c>
      <c r="E636" t="inlineStr">
        <is>
          <t>COIHUECO Y OTROS (BB)</t>
        </is>
      </c>
      <c r="F636" t="inlineStr">
        <is>
          <t>PIRA</t>
        </is>
      </c>
      <c r="G636" t="n">
        <v>120</v>
      </c>
      <c r="H636" t="n">
        <v>0</v>
      </c>
      <c r="I636" t="n">
        <v>2</v>
      </c>
      <c r="J636" t="n">
        <v>16</v>
      </c>
      <c r="K636" t="n">
        <v>0</v>
      </c>
      <c r="L636" t="n">
        <v>11.38</v>
      </c>
      <c r="M636" t="n">
        <v>0</v>
      </c>
      <c r="N636" t="n">
        <v>0</v>
      </c>
      <c r="O636" t="n">
        <v>100</v>
      </c>
      <c r="P636" t="n">
        <v>5.69</v>
      </c>
    </row>
    <row r="637">
      <c r="A637" t="n">
        <v>827734</v>
      </c>
      <c r="B637" t="inlineStr">
        <is>
          <t>16-05-2026</t>
        </is>
      </c>
      <c r="C637" t="inlineStr">
        <is>
          <t>S58</t>
        </is>
      </c>
      <c r="D637" t="inlineStr">
        <is>
          <t>SKIDDER</t>
        </is>
      </c>
      <c r="E637" t="inlineStr">
        <is>
          <t>COIHUECO Y OTROS (BB)</t>
        </is>
      </c>
      <c r="F637" t="inlineStr">
        <is>
          <t>PIRA</t>
        </is>
      </c>
      <c r="G637" t="n">
        <v>120</v>
      </c>
      <c r="H637" t="n">
        <v>0</v>
      </c>
      <c r="I637" t="n">
        <v>2</v>
      </c>
      <c r="J637" t="n">
        <v>16</v>
      </c>
      <c r="K637" t="n">
        <v>0</v>
      </c>
      <c r="L637" t="n">
        <v>67.45</v>
      </c>
      <c r="M637" t="n">
        <v>0</v>
      </c>
      <c r="N637" t="n">
        <v>0</v>
      </c>
      <c r="O637" t="n">
        <v>100</v>
      </c>
      <c r="P637" t="n">
        <v>33.72</v>
      </c>
    </row>
    <row r="638">
      <c r="A638" t="n">
        <v>827735</v>
      </c>
      <c r="B638" t="inlineStr">
        <is>
          <t>16-05-2026</t>
        </is>
      </c>
      <c r="C638" t="inlineStr">
        <is>
          <t>MG5</t>
        </is>
      </c>
      <c r="D638" t="inlineStr">
        <is>
          <t>GRAPPLE</t>
        </is>
      </c>
      <c r="E638" t="inlineStr">
        <is>
          <t>CE-27 ESPINALILLO YBAR</t>
        </is>
      </c>
      <c r="F638" t="inlineStr">
        <is>
          <t>PIRA</t>
        </is>
      </c>
      <c r="G638" t="n">
        <v>720</v>
      </c>
      <c r="H638" t="n">
        <v>0</v>
      </c>
      <c r="I638" t="n">
        <v>11</v>
      </c>
      <c r="J638" t="n">
        <v>69</v>
      </c>
      <c r="K638" t="n">
        <v>0</v>
      </c>
      <c r="L638" t="n">
        <v>47.52</v>
      </c>
      <c r="M638" t="n">
        <v>0</v>
      </c>
      <c r="N638" t="n">
        <v>0</v>
      </c>
      <c r="O638" t="n">
        <v>100</v>
      </c>
      <c r="P638" t="n">
        <v>4.32</v>
      </c>
    </row>
    <row r="639">
      <c r="A639" t="n">
        <v>827735</v>
      </c>
      <c r="B639" t="inlineStr">
        <is>
          <t>16-05-2026</t>
        </is>
      </c>
      <c r="C639" t="inlineStr">
        <is>
          <t>MG5</t>
        </is>
      </c>
      <c r="D639" t="inlineStr">
        <is>
          <t>GRAPPLE</t>
        </is>
      </c>
      <c r="E639" t="inlineStr">
        <is>
          <t>CE-27 ESPINALILLO YBAR</t>
        </is>
      </c>
      <c r="F639" t="inlineStr">
        <is>
          <t>PIRA</t>
        </is>
      </c>
      <c r="G639" t="n">
        <v>720</v>
      </c>
      <c r="H639" t="n">
        <v>0</v>
      </c>
      <c r="I639" t="n">
        <v>11</v>
      </c>
      <c r="J639" t="n">
        <v>69</v>
      </c>
      <c r="K639" t="n">
        <v>0</v>
      </c>
      <c r="L639" t="n">
        <v>132.71</v>
      </c>
      <c r="M639" t="n">
        <v>0</v>
      </c>
      <c r="N639" t="n">
        <v>0</v>
      </c>
      <c r="O639" t="n">
        <v>100</v>
      </c>
      <c r="P639" t="n">
        <v>12.06</v>
      </c>
    </row>
    <row r="640">
      <c r="A640" t="n">
        <v>827735</v>
      </c>
      <c r="B640" t="inlineStr">
        <is>
          <t>16-05-2026</t>
        </is>
      </c>
      <c r="C640" t="inlineStr">
        <is>
          <t>MG5</t>
        </is>
      </c>
      <c r="D640" t="inlineStr">
        <is>
          <t>GRAPPLE</t>
        </is>
      </c>
      <c r="E640" t="inlineStr">
        <is>
          <t>CE-27 ESPINALILLO YBAR</t>
        </is>
      </c>
      <c r="F640" t="inlineStr">
        <is>
          <t>PIRA</t>
        </is>
      </c>
      <c r="G640" t="n">
        <v>720</v>
      </c>
      <c r="H640" t="n">
        <v>0</v>
      </c>
      <c r="I640" t="n">
        <v>11</v>
      </c>
      <c r="J640" t="n">
        <v>69</v>
      </c>
      <c r="K640" t="n">
        <v>0</v>
      </c>
      <c r="L640" t="n">
        <v>56.92</v>
      </c>
      <c r="M640" t="n">
        <v>0</v>
      </c>
      <c r="N640" t="n">
        <v>0</v>
      </c>
      <c r="O640" t="n">
        <v>100</v>
      </c>
      <c r="P640" t="n">
        <v>5.17</v>
      </c>
    </row>
    <row r="641">
      <c r="A641" t="n">
        <v>827737</v>
      </c>
      <c r="B641" t="inlineStr">
        <is>
          <t>16-05-2026</t>
        </is>
      </c>
      <c r="C641" t="inlineStr">
        <is>
          <t>S123</t>
        </is>
      </c>
      <c r="D641" t="inlineStr">
        <is>
          <t>SKIDDER</t>
        </is>
      </c>
      <c r="E641" t="inlineStr">
        <is>
          <t>QUIRIQUINO</t>
        </is>
      </c>
      <c r="F641" t="inlineStr">
        <is>
          <t>PIRA</t>
        </is>
      </c>
      <c r="G641" t="n">
        <v>720</v>
      </c>
      <c r="H641" t="n">
        <v>0</v>
      </c>
      <c r="I641" t="n">
        <v>7</v>
      </c>
      <c r="J641" t="n">
        <v>65</v>
      </c>
      <c r="K641" t="n">
        <v>0</v>
      </c>
      <c r="L641" t="n">
        <v>33.08</v>
      </c>
      <c r="M641" t="n">
        <v>180</v>
      </c>
      <c r="N641" t="n">
        <v>240</v>
      </c>
      <c r="O641" t="n">
        <v>99.59999999999999</v>
      </c>
      <c r="P641" t="n">
        <v>4.73</v>
      </c>
    </row>
    <row r="642">
      <c r="A642" t="n">
        <v>827737</v>
      </c>
      <c r="B642" t="inlineStr">
        <is>
          <t>16-05-2026</t>
        </is>
      </c>
      <c r="C642" t="inlineStr">
        <is>
          <t>S123</t>
        </is>
      </c>
      <c r="D642" t="inlineStr">
        <is>
          <t>SKIDDER</t>
        </is>
      </c>
      <c r="E642" t="inlineStr">
        <is>
          <t>QUIRIQUINO</t>
        </is>
      </c>
      <c r="F642" t="inlineStr">
        <is>
          <t>PIRA</t>
        </is>
      </c>
      <c r="G642" t="n">
        <v>720</v>
      </c>
      <c r="H642" t="n">
        <v>0</v>
      </c>
      <c r="I642" t="n">
        <v>7</v>
      </c>
      <c r="J642" t="n">
        <v>65</v>
      </c>
      <c r="K642" t="n">
        <v>0</v>
      </c>
      <c r="L642" t="n">
        <v>31.82</v>
      </c>
      <c r="M642" t="n">
        <v>180</v>
      </c>
      <c r="N642" t="n">
        <v>240</v>
      </c>
      <c r="O642" t="n">
        <v>99.59999999999999</v>
      </c>
      <c r="P642" t="n">
        <v>4.54</v>
      </c>
    </row>
    <row r="643">
      <c r="A643" t="n">
        <v>827737</v>
      </c>
      <c r="B643" t="inlineStr">
        <is>
          <t>16-05-2026</t>
        </is>
      </c>
      <c r="C643" t="inlineStr">
        <is>
          <t>S123</t>
        </is>
      </c>
      <c r="D643" t="inlineStr">
        <is>
          <t>SKIDDER</t>
        </is>
      </c>
      <c r="E643" t="inlineStr">
        <is>
          <t>QUIRIQUINO</t>
        </is>
      </c>
      <c r="F643" t="inlineStr">
        <is>
          <t>PIRA</t>
        </is>
      </c>
      <c r="G643" t="n">
        <v>720</v>
      </c>
      <c r="H643" t="n">
        <v>0</v>
      </c>
      <c r="I643" t="n">
        <v>7</v>
      </c>
      <c r="J643" t="n">
        <v>65</v>
      </c>
      <c r="K643" t="n">
        <v>0</v>
      </c>
      <c r="L643" t="n">
        <v>6.17</v>
      </c>
      <c r="M643" t="n">
        <v>180</v>
      </c>
      <c r="N643" t="n">
        <v>240</v>
      </c>
      <c r="O643" t="n">
        <v>99.59999999999999</v>
      </c>
      <c r="P643" t="n">
        <v>0.88</v>
      </c>
    </row>
    <row r="644">
      <c r="A644" t="n">
        <v>827737</v>
      </c>
      <c r="B644" t="inlineStr">
        <is>
          <t>16-05-2026</t>
        </is>
      </c>
      <c r="C644" t="inlineStr">
        <is>
          <t>S123</t>
        </is>
      </c>
      <c r="D644" t="inlineStr">
        <is>
          <t>SKIDDER</t>
        </is>
      </c>
      <c r="E644" t="inlineStr">
        <is>
          <t>QUIRIQUINO</t>
        </is>
      </c>
      <c r="F644" t="inlineStr">
        <is>
          <t>PIRA</t>
        </is>
      </c>
      <c r="G644" t="n">
        <v>720</v>
      </c>
      <c r="H644" t="n">
        <v>0</v>
      </c>
      <c r="I644" t="n">
        <v>7</v>
      </c>
      <c r="J644" t="n">
        <v>65</v>
      </c>
      <c r="K644" t="n">
        <v>0</v>
      </c>
      <c r="L644" t="n">
        <v>54.94</v>
      </c>
      <c r="M644" t="n">
        <v>180</v>
      </c>
      <c r="N644" t="n">
        <v>240</v>
      </c>
      <c r="O644" t="n">
        <v>99.59999999999999</v>
      </c>
      <c r="P644" t="n">
        <v>7.85</v>
      </c>
    </row>
    <row r="645">
      <c r="A645" t="n">
        <v>827737</v>
      </c>
      <c r="B645" t="inlineStr">
        <is>
          <t>16-05-2026</t>
        </is>
      </c>
      <c r="C645" t="inlineStr">
        <is>
          <t>S123</t>
        </is>
      </c>
      <c r="D645" t="inlineStr">
        <is>
          <t>SKIDDER</t>
        </is>
      </c>
      <c r="E645" t="inlineStr">
        <is>
          <t>QUIRIQUINO</t>
        </is>
      </c>
      <c r="F645" t="inlineStr">
        <is>
          <t>PIRA</t>
        </is>
      </c>
      <c r="G645" t="n">
        <v>720</v>
      </c>
      <c r="H645" t="n">
        <v>0</v>
      </c>
      <c r="I645" t="n">
        <v>7</v>
      </c>
      <c r="J645" t="n">
        <v>65</v>
      </c>
      <c r="K645" t="n">
        <v>0</v>
      </c>
      <c r="L645" t="n">
        <v>216.6</v>
      </c>
      <c r="M645" t="n">
        <v>180</v>
      </c>
      <c r="N645" t="n">
        <v>240</v>
      </c>
      <c r="O645" t="n">
        <v>99.59999999999999</v>
      </c>
      <c r="P645" t="n">
        <v>30.94</v>
      </c>
    </row>
    <row r="646">
      <c r="A646" t="n">
        <v>827773</v>
      </c>
      <c r="B646" t="inlineStr">
        <is>
          <t>16-05-2026</t>
        </is>
      </c>
      <c r="C646" t="inlineStr">
        <is>
          <t>TEA02</t>
        </is>
      </c>
      <c r="D646" t="inlineStr">
        <is>
          <t>FORWINCH</t>
        </is>
      </c>
      <c r="E646" t="inlineStr">
        <is>
          <t>LOMA DE LA VACA</t>
        </is>
      </c>
      <c r="F646" t="inlineStr">
        <is>
          <t>PIRA</t>
        </is>
      </c>
      <c r="G646" t="n">
        <v>720</v>
      </c>
      <c r="H646" t="n">
        <v>0</v>
      </c>
      <c r="I646" t="n">
        <v>10.5</v>
      </c>
      <c r="J646" t="n">
        <v>33</v>
      </c>
      <c r="K646" t="n">
        <v>0</v>
      </c>
      <c r="L646" t="n">
        <v>81.40000000000001</v>
      </c>
      <c r="M646" t="n">
        <v>0</v>
      </c>
      <c r="N646" t="n">
        <v>30</v>
      </c>
      <c r="O646" t="n">
        <v>100</v>
      </c>
      <c r="P646" t="n">
        <v>7.75</v>
      </c>
    </row>
    <row r="647">
      <c r="A647" t="n">
        <v>827773</v>
      </c>
      <c r="B647" t="inlineStr">
        <is>
          <t>16-05-2026</t>
        </is>
      </c>
      <c r="C647" t="inlineStr">
        <is>
          <t>TEA02</t>
        </is>
      </c>
      <c r="D647" t="inlineStr">
        <is>
          <t>FORWINCH</t>
        </is>
      </c>
      <c r="E647" t="inlineStr">
        <is>
          <t>LOMA DE LA VACA</t>
        </is>
      </c>
      <c r="F647" t="inlineStr">
        <is>
          <t>PIRA</t>
        </is>
      </c>
      <c r="G647" t="n">
        <v>720</v>
      </c>
      <c r="H647" t="n">
        <v>0</v>
      </c>
      <c r="I647" t="n">
        <v>10.5</v>
      </c>
      <c r="J647" t="n">
        <v>33</v>
      </c>
      <c r="K647" t="n">
        <v>0</v>
      </c>
      <c r="L647" t="n">
        <v>32.63</v>
      </c>
      <c r="M647" t="n">
        <v>0</v>
      </c>
      <c r="N647" t="n">
        <v>30</v>
      </c>
      <c r="O647" t="n">
        <v>100</v>
      </c>
      <c r="P647" t="n">
        <v>3.11</v>
      </c>
    </row>
    <row r="648">
      <c r="A648" t="n">
        <v>827787</v>
      </c>
      <c r="B648" t="inlineStr">
        <is>
          <t>16-05-2026</t>
        </is>
      </c>
      <c r="C648" t="inlineStr">
        <is>
          <t>S223</t>
        </is>
      </c>
      <c r="D648" t="inlineStr">
        <is>
          <t>SKIDDER</t>
        </is>
      </c>
      <c r="E648" t="inlineStr">
        <is>
          <t>LAS ULLOAS (BB)</t>
        </is>
      </c>
      <c r="F648" t="inlineStr">
        <is>
          <t>PIRA</t>
        </is>
      </c>
      <c r="G648" t="n">
        <v>720</v>
      </c>
      <c r="H648" t="n">
        <v>0</v>
      </c>
      <c r="I648" t="n">
        <v>7</v>
      </c>
      <c r="J648" t="n">
        <v>23</v>
      </c>
      <c r="K648" t="n">
        <v>0</v>
      </c>
      <c r="L648" t="n">
        <v>3.25</v>
      </c>
      <c r="M648" t="n">
        <v>240</v>
      </c>
      <c r="N648" t="n">
        <v>240</v>
      </c>
      <c r="O648" t="n">
        <v>99.40000000000001</v>
      </c>
      <c r="P648" t="n">
        <v>0.46</v>
      </c>
    </row>
    <row r="649">
      <c r="A649" t="n">
        <v>827787</v>
      </c>
      <c r="B649" t="inlineStr">
        <is>
          <t>16-05-2026</t>
        </is>
      </c>
      <c r="C649" t="inlineStr">
        <is>
          <t>S223</t>
        </is>
      </c>
      <c r="D649" t="inlineStr">
        <is>
          <t>SKIDDER</t>
        </is>
      </c>
      <c r="E649" t="inlineStr">
        <is>
          <t>LAS ULLOAS (BB)</t>
        </is>
      </c>
      <c r="F649" t="inlineStr">
        <is>
          <t>PIRA</t>
        </is>
      </c>
      <c r="G649" t="n">
        <v>720</v>
      </c>
      <c r="H649" t="n">
        <v>0</v>
      </c>
      <c r="I649" t="n">
        <v>7</v>
      </c>
      <c r="J649" t="n">
        <v>23</v>
      </c>
      <c r="K649" t="n">
        <v>0</v>
      </c>
      <c r="L649" t="n">
        <v>35.31</v>
      </c>
      <c r="M649" t="n">
        <v>240</v>
      </c>
      <c r="N649" t="n">
        <v>240</v>
      </c>
      <c r="O649" t="n">
        <v>99.40000000000001</v>
      </c>
      <c r="P649" t="n">
        <v>5.04</v>
      </c>
    </row>
    <row r="650">
      <c r="A650" t="n">
        <v>827787</v>
      </c>
      <c r="B650" t="inlineStr">
        <is>
          <t>16-05-2026</t>
        </is>
      </c>
      <c r="C650" t="inlineStr">
        <is>
          <t>S223</t>
        </is>
      </c>
      <c r="D650" t="inlineStr">
        <is>
          <t>SKIDDER</t>
        </is>
      </c>
      <c r="E650" t="inlineStr">
        <is>
          <t>LAS ULLOAS (BB)</t>
        </is>
      </c>
      <c r="F650" t="inlineStr">
        <is>
          <t>PIRA</t>
        </is>
      </c>
      <c r="G650" t="n">
        <v>720</v>
      </c>
      <c r="H650" t="n">
        <v>0</v>
      </c>
      <c r="I650" t="n">
        <v>7</v>
      </c>
      <c r="J650" t="n">
        <v>23</v>
      </c>
      <c r="K650" t="n">
        <v>0</v>
      </c>
      <c r="L650" t="n">
        <v>46.73</v>
      </c>
      <c r="M650" t="n">
        <v>240</v>
      </c>
      <c r="N650" t="n">
        <v>240</v>
      </c>
      <c r="O650" t="n">
        <v>99.40000000000001</v>
      </c>
      <c r="P650" t="n">
        <v>6.68</v>
      </c>
    </row>
    <row r="651">
      <c r="A651" t="n">
        <v>827787</v>
      </c>
      <c r="B651" t="inlineStr">
        <is>
          <t>16-05-2026</t>
        </is>
      </c>
      <c r="C651" t="inlineStr">
        <is>
          <t>S223</t>
        </is>
      </c>
      <c r="D651" t="inlineStr">
        <is>
          <t>SKIDDER</t>
        </is>
      </c>
      <c r="E651" t="inlineStr">
        <is>
          <t>LAS ULLOAS (BB)</t>
        </is>
      </c>
      <c r="F651" t="inlineStr">
        <is>
          <t>PIRA</t>
        </is>
      </c>
      <c r="G651" t="n">
        <v>720</v>
      </c>
      <c r="H651" t="n">
        <v>0</v>
      </c>
      <c r="I651" t="n">
        <v>7</v>
      </c>
      <c r="J651" t="n">
        <v>23</v>
      </c>
      <c r="K651" t="n">
        <v>0</v>
      </c>
      <c r="L651" t="n">
        <v>69.3</v>
      </c>
      <c r="M651" t="n">
        <v>240</v>
      </c>
      <c r="N651" t="n">
        <v>240</v>
      </c>
      <c r="O651" t="n">
        <v>99.40000000000001</v>
      </c>
      <c r="P651" t="n">
        <v>9.9</v>
      </c>
    </row>
    <row r="652">
      <c r="A652" t="n">
        <v>827787</v>
      </c>
      <c r="B652" t="inlineStr">
        <is>
          <t>16-05-2026</t>
        </is>
      </c>
      <c r="C652" t="inlineStr">
        <is>
          <t>S223</t>
        </is>
      </c>
      <c r="D652" t="inlineStr">
        <is>
          <t>SKIDDER</t>
        </is>
      </c>
      <c r="E652" t="inlineStr">
        <is>
          <t>LAS ULLOAS (BB)</t>
        </is>
      </c>
      <c r="F652" t="inlineStr">
        <is>
          <t>PIRA</t>
        </is>
      </c>
      <c r="G652" t="n">
        <v>720</v>
      </c>
      <c r="H652" t="n">
        <v>0</v>
      </c>
      <c r="I652" t="n">
        <v>7</v>
      </c>
      <c r="J652" t="n">
        <v>23</v>
      </c>
      <c r="K652" t="n">
        <v>0</v>
      </c>
      <c r="L652" t="n">
        <v>16.17</v>
      </c>
      <c r="M652" t="n">
        <v>240</v>
      </c>
      <c r="N652" t="n">
        <v>240</v>
      </c>
      <c r="O652" t="n">
        <v>99.40000000000001</v>
      </c>
      <c r="P652" t="n">
        <v>2.31</v>
      </c>
    </row>
    <row r="653">
      <c r="A653" t="n">
        <v>827791</v>
      </c>
      <c r="B653" t="inlineStr">
        <is>
          <t>16-05-2026</t>
        </is>
      </c>
      <c r="C653" t="inlineStr">
        <is>
          <t>T125</t>
        </is>
      </c>
      <c r="D653" t="inlineStr">
        <is>
          <t>TORRE500</t>
        </is>
      </c>
      <c r="E653" t="inlineStr">
        <is>
          <t>POLHUIN</t>
        </is>
      </c>
      <c r="F653" t="inlineStr">
        <is>
          <t>EUGL</t>
        </is>
      </c>
      <c r="G653" t="n">
        <v>660</v>
      </c>
      <c r="H653" t="n">
        <v>0</v>
      </c>
      <c r="I653" t="n">
        <v>6</v>
      </c>
      <c r="J653" t="n">
        <v>65</v>
      </c>
      <c r="K653" t="n">
        <v>0</v>
      </c>
      <c r="L653" t="n">
        <v>43.44</v>
      </c>
      <c r="M653" t="n">
        <v>0</v>
      </c>
      <c r="N653" t="n">
        <v>240</v>
      </c>
      <c r="O653" t="n">
        <v>100</v>
      </c>
      <c r="P653" t="n">
        <v>7.24</v>
      </c>
    </row>
    <row r="654">
      <c r="A654" t="n">
        <v>827792</v>
      </c>
      <c r="B654" t="inlineStr">
        <is>
          <t>16-05-2026</t>
        </is>
      </c>
      <c r="C654" t="inlineStr">
        <is>
          <t>S246</t>
        </is>
      </c>
      <c r="D654" t="inlineStr">
        <is>
          <t>SKIDDER</t>
        </is>
      </c>
      <c r="E654" t="inlineStr">
        <is>
          <t>LAS MERCEDES C13</t>
        </is>
      </c>
      <c r="F654" t="inlineStr">
        <is>
          <t>PIRA</t>
        </is>
      </c>
      <c r="G654" t="n">
        <v>720</v>
      </c>
      <c r="H654" t="n">
        <v>0</v>
      </c>
      <c r="I654" t="n">
        <v>9</v>
      </c>
      <c r="J654" t="n">
        <v>55</v>
      </c>
      <c r="K654" t="n">
        <v>0</v>
      </c>
      <c r="L654" t="n">
        <v>97.3</v>
      </c>
      <c r="M654" t="n">
        <v>120</v>
      </c>
      <c r="N654" t="n">
        <v>120</v>
      </c>
      <c r="O654" t="n">
        <v>99.7</v>
      </c>
      <c r="P654" t="n">
        <v>10.81</v>
      </c>
    </row>
    <row r="655">
      <c r="A655" t="n">
        <v>827792</v>
      </c>
      <c r="B655" t="inlineStr">
        <is>
          <t>16-05-2026</t>
        </is>
      </c>
      <c r="C655" t="inlineStr">
        <is>
          <t>S246</t>
        </is>
      </c>
      <c r="D655" t="inlineStr">
        <is>
          <t>SKIDDER</t>
        </is>
      </c>
      <c r="E655" t="inlineStr">
        <is>
          <t>LAS MERCEDES C13</t>
        </is>
      </c>
      <c r="F655" t="inlineStr">
        <is>
          <t>PIRA</t>
        </is>
      </c>
      <c r="G655" t="n">
        <v>720</v>
      </c>
      <c r="H655" t="n">
        <v>0</v>
      </c>
      <c r="I655" t="n">
        <v>9</v>
      </c>
      <c r="J655" t="n">
        <v>55</v>
      </c>
      <c r="K655" t="n">
        <v>0</v>
      </c>
      <c r="L655" t="n">
        <v>34.2</v>
      </c>
      <c r="M655" t="n">
        <v>120</v>
      </c>
      <c r="N655" t="n">
        <v>120</v>
      </c>
      <c r="O655" t="n">
        <v>99.7</v>
      </c>
      <c r="P655" t="n">
        <v>3.8</v>
      </c>
    </row>
    <row r="656">
      <c r="A656" t="n">
        <v>827806</v>
      </c>
      <c r="B656" t="inlineStr">
        <is>
          <t>16-05-2026</t>
        </is>
      </c>
      <c r="C656" t="inlineStr">
        <is>
          <t>TEA08</t>
        </is>
      </c>
      <c r="D656" t="inlineStr">
        <is>
          <t>FORWINCH</t>
        </is>
      </c>
      <c r="E656" t="inlineStr">
        <is>
          <t>COIHUECO Y OTROS (BB)</t>
        </is>
      </c>
      <c r="F656" t="inlineStr">
        <is>
          <t>PIRA</t>
        </is>
      </c>
      <c r="G656" t="n">
        <v>720</v>
      </c>
      <c r="H656" t="n">
        <v>0</v>
      </c>
      <c r="I656" t="n">
        <v>10</v>
      </c>
      <c r="J656" t="n">
        <v>58</v>
      </c>
      <c r="K656" t="n">
        <v>0</v>
      </c>
      <c r="L656" t="n">
        <v>29.01</v>
      </c>
      <c r="M656" t="n">
        <v>0</v>
      </c>
      <c r="N656" t="n">
        <v>60</v>
      </c>
      <c r="O656" t="n">
        <v>100</v>
      </c>
      <c r="P656" t="n">
        <v>2.9</v>
      </c>
    </row>
    <row r="657">
      <c r="A657" t="n">
        <v>827806</v>
      </c>
      <c r="B657" t="inlineStr">
        <is>
          <t>16-05-2026</t>
        </is>
      </c>
      <c r="C657" t="inlineStr">
        <is>
          <t>TEA08</t>
        </is>
      </c>
      <c r="D657" t="inlineStr">
        <is>
          <t>FORWINCH</t>
        </is>
      </c>
      <c r="E657" t="inlineStr">
        <is>
          <t>COIHUECO Y OTROS (BB)</t>
        </is>
      </c>
      <c r="F657" t="inlineStr">
        <is>
          <t>PIRA</t>
        </is>
      </c>
      <c r="G657" t="n">
        <v>720</v>
      </c>
      <c r="H657" t="n">
        <v>0</v>
      </c>
      <c r="I657" t="n">
        <v>10</v>
      </c>
      <c r="J657" t="n">
        <v>58</v>
      </c>
      <c r="K657" t="n">
        <v>0</v>
      </c>
      <c r="L657" t="n">
        <v>44.27</v>
      </c>
      <c r="M657" t="n">
        <v>0</v>
      </c>
      <c r="N657" t="n">
        <v>60</v>
      </c>
      <c r="O657" t="n">
        <v>100</v>
      </c>
      <c r="P657" t="n">
        <v>4.43</v>
      </c>
    </row>
    <row r="658">
      <c r="A658" t="n">
        <v>827806</v>
      </c>
      <c r="B658" t="inlineStr">
        <is>
          <t>16-05-2026</t>
        </is>
      </c>
      <c r="C658" t="inlineStr">
        <is>
          <t>TEA08</t>
        </is>
      </c>
      <c r="D658" t="inlineStr">
        <is>
          <t>FORWINCH</t>
        </is>
      </c>
      <c r="E658" t="inlineStr">
        <is>
          <t>COIHUECO Y OTROS (BB)</t>
        </is>
      </c>
      <c r="F658" t="inlineStr">
        <is>
          <t>PIRA</t>
        </is>
      </c>
      <c r="G658" t="n">
        <v>720</v>
      </c>
      <c r="H658" t="n">
        <v>0</v>
      </c>
      <c r="I658" t="n">
        <v>10</v>
      </c>
      <c r="J658" t="n">
        <v>58</v>
      </c>
      <c r="K658" t="n">
        <v>0</v>
      </c>
      <c r="L658" t="n">
        <v>75.89</v>
      </c>
      <c r="M658" t="n">
        <v>0</v>
      </c>
      <c r="N658" t="n">
        <v>60</v>
      </c>
      <c r="O658" t="n">
        <v>100</v>
      </c>
      <c r="P658" t="n">
        <v>7.59</v>
      </c>
    </row>
    <row r="659">
      <c r="A659" t="n">
        <v>827806</v>
      </c>
      <c r="B659" t="inlineStr">
        <is>
          <t>16-05-2026</t>
        </is>
      </c>
      <c r="C659" t="inlineStr">
        <is>
          <t>TEA08</t>
        </is>
      </c>
      <c r="D659" t="inlineStr">
        <is>
          <t>FORWINCH</t>
        </is>
      </c>
      <c r="E659" t="inlineStr">
        <is>
          <t>COIHUECO Y OTROS (BB)</t>
        </is>
      </c>
      <c r="F659" t="inlineStr">
        <is>
          <t>PIRA</t>
        </is>
      </c>
      <c r="G659" t="n">
        <v>720</v>
      </c>
      <c r="H659" t="n">
        <v>0</v>
      </c>
      <c r="I659" t="n">
        <v>10</v>
      </c>
      <c r="J659" t="n">
        <v>58</v>
      </c>
      <c r="K659" t="n">
        <v>0</v>
      </c>
      <c r="L659" t="n">
        <v>124.64</v>
      </c>
      <c r="M659" t="n">
        <v>0</v>
      </c>
      <c r="N659" t="n">
        <v>60</v>
      </c>
      <c r="O659" t="n">
        <v>100</v>
      </c>
      <c r="P659" t="n">
        <v>12.46</v>
      </c>
    </row>
    <row r="660">
      <c r="A660" t="n">
        <v>827893</v>
      </c>
      <c r="B660" t="inlineStr">
        <is>
          <t>17-05-2026</t>
        </is>
      </c>
      <c r="C660" t="inlineStr">
        <is>
          <t>MG5</t>
        </is>
      </c>
      <c r="D660" t="inlineStr">
        <is>
          <t>GRAPPLE</t>
        </is>
      </c>
      <c r="E660" t="inlineStr">
        <is>
          <t>CE-27 ESPINALILLO YBAR</t>
        </is>
      </c>
      <c r="F660" t="inlineStr">
        <is>
          <t>PIRA</t>
        </is>
      </c>
      <c r="G660" t="n">
        <v>720</v>
      </c>
      <c r="H660" t="n">
        <v>0</v>
      </c>
      <c r="I660" t="n">
        <v>9</v>
      </c>
      <c r="J660" t="n">
        <v>134</v>
      </c>
      <c r="K660" t="n">
        <v>0</v>
      </c>
      <c r="L660" t="n">
        <v>6.38</v>
      </c>
      <c r="M660" t="n">
        <v>120</v>
      </c>
      <c r="N660" t="n">
        <v>120</v>
      </c>
      <c r="O660" t="n">
        <v>99.7</v>
      </c>
      <c r="P660" t="n">
        <v>0.71</v>
      </c>
    </row>
    <row r="661">
      <c r="A661" t="n">
        <v>827893</v>
      </c>
      <c r="B661" t="inlineStr">
        <is>
          <t>17-05-2026</t>
        </is>
      </c>
      <c r="C661" t="inlineStr">
        <is>
          <t>MG5</t>
        </is>
      </c>
      <c r="D661" t="inlineStr">
        <is>
          <t>GRAPPLE</t>
        </is>
      </c>
      <c r="E661" t="inlineStr">
        <is>
          <t>CE-27 ESPINALILLO YBAR</t>
        </is>
      </c>
      <c r="F661" t="inlineStr">
        <is>
          <t>PIRA</t>
        </is>
      </c>
      <c r="G661" t="n">
        <v>720</v>
      </c>
      <c r="H661" t="n">
        <v>0</v>
      </c>
      <c r="I661" t="n">
        <v>9</v>
      </c>
      <c r="J661" t="n">
        <v>134</v>
      </c>
      <c r="K661" t="n">
        <v>0</v>
      </c>
      <c r="L661" t="n">
        <v>91.29000000000001</v>
      </c>
      <c r="M661" t="n">
        <v>120</v>
      </c>
      <c r="N661" t="n">
        <v>120</v>
      </c>
      <c r="O661" t="n">
        <v>99.7</v>
      </c>
      <c r="P661" t="n">
        <v>10.14</v>
      </c>
    </row>
    <row r="662">
      <c r="A662" t="n">
        <v>827893</v>
      </c>
      <c r="B662" t="inlineStr">
        <is>
          <t>17-05-2026</t>
        </is>
      </c>
      <c r="C662" t="inlineStr">
        <is>
          <t>MG5</t>
        </is>
      </c>
      <c r="D662" t="inlineStr">
        <is>
          <t>GRAPPLE</t>
        </is>
      </c>
      <c r="E662" t="inlineStr">
        <is>
          <t>CE-27 ESPINALILLO YBAR</t>
        </is>
      </c>
      <c r="F662" t="inlineStr">
        <is>
          <t>PIRA</t>
        </is>
      </c>
      <c r="G662" t="n">
        <v>720</v>
      </c>
      <c r="H662" t="n">
        <v>0</v>
      </c>
      <c r="I662" t="n">
        <v>9</v>
      </c>
      <c r="J662" t="n">
        <v>134</v>
      </c>
      <c r="K662" t="n">
        <v>0</v>
      </c>
      <c r="L662" t="n">
        <v>40.98</v>
      </c>
      <c r="M662" t="n">
        <v>120</v>
      </c>
      <c r="N662" t="n">
        <v>120</v>
      </c>
      <c r="O662" t="n">
        <v>99.7</v>
      </c>
      <c r="P662" t="n">
        <v>4.55</v>
      </c>
    </row>
    <row r="663">
      <c r="A663" t="n">
        <v>827896</v>
      </c>
      <c r="B663" t="inlineStr">
        <is>
          <t>17-05-2026</t>
        </is>
      </c>
      <c r="C663" t="inlineStr">
        <is>
          <t>S58</t>
        </is>
      </c>
      <c r="D663" t="inlineStr">
        <is>
          <t>SKIDDER</t>
        </is>
      </c>
      <c r="E663" t="inlineStr">
        <is>
          <t>COIHUECO Y OTROS (BB)</t>
        </is>
      </c>
      <c r="F663" t="inlineStr">
        <is>
          <t>PIRA</t>
        </is>
      </c>
      <c r="G663" t="n">
        <v>720</v>
      </c>
      <c r="H663" t="n">
        <v>0</v>
      </c>
      <c r="I663" t="n">
        <v>9</v>
      </c>
      <c r="J663" t="n">
        <v>63</v>
      </c>
      <c r="K663" t="n">
        <v>0</v>
      </c>
      <c r="L663" t="n">
        <v>3.35</v>
      </c>
      <c r="M663" t="n">
        <v>0</v>
      </c>
      <c r="N663" t="n">
        <v>120</v>
      </c>
      <c r="O663" t="n">
        <v>100</v>
      </c>
      <c r="P663" t="n">
        <v>0.37</v>
      </c>
    </row>
    <row r="664">
      <c r="A664" t="n">
        <v>827896</v>
      </c>
      <c r="B664" t="inlineStr">
        <is>
          <t>17-05-2026</t>
        </is>
      </c>
      <c r="C664" t="inlineStr">
        <is>
          <t>S58</t>
        </is>
      </c>
      <c r="D664" t="inlineStr">
        <is>
          <t>SKIDDER</t>
        </is>
      </c>
      <c r="E664" t="inlineStr">
        <is>
          <t>COIHUECO Y OTROS (BB)</t>
        </is>
      </c>
      <c r="F664" t="inlineStr">
        <is>
          <t>PIRA</t>
        </is>
      </c>
      <c r="G664" t="n">
        <v>720</v>
      </c>
      <c r="H664" t="n">
        <v>0</v>
      </c>
      <c r="I664" t="n">
        <v>9</v>
      </c>
      <c r="J664" t="n">
        <v>63</v>
      </c>
      <c r="K664" t="n">
        <v>0</v>
      </c>
      <c r="L664" t="n">
        <v>22.62</v>
      </c>
      <c r="M664" t="n">
        <v>0</v>
      </c>
      <c r="N664" t="n">
        <v>120</v>
      </c>
      <c r="O664" t="n">
        <v>100</v>
      </c>
      <c r="P664" t="n">
        <v>2.51</v>
      </c>
    </row>
    <row r="665">
      <c r="A665" t="n">
        <v>827896</v>
      </c>
      <c r="B665" t="inlineStr">
        <is>
          <t>17-05-2026</t>
        </is>
      </c>
      <c r="C665" t="inlineStr">
        <is>
          <t>S58</t>
        </is>
      </c>
      <c r="D665" t="inlineStr">
        <is>
          <t>SKIDDER</t>
        </is>
      </c>
      <c r="E665" t="inlineStr">
        <is>
          <t>COIHUECO Y OTROS (BB)</t>
        </is>
      </c>
      <c r="F665" t="inlineStr">
        <is>
          <t>PIRA</t>
        </is>
      </c>
      <c r="G665" t="n">
        <v>720</v>
      </c>
      <c r="H665" t="n">
        <v>0</v>
      </c>
      <c r="I665" t="n">
        <v>9</v>
      </c>
      <c r="J665" t="n">
        <v>63</v>
      </c>
      <c r="K665" t="n">
        <v>0</v>
      </c>
      <c r="L665" t="n">
        <v>19.18</v>
      </c>
      <c r="M665" t="n">
        <v>0</v>
      </c>
      <c r="N665" t="n">
        <v>120</v>
      </c>
      <c r="O665" t="n">
        <v>100</v>
      </c>
      <c r="P665" t="n">
        <v>2.13</v>
      </c>
    </row>
    <row r="666">
      <c r="A666" t="n">
        <v>827896</v>
      </c>
      <c r="B666" t="inlineStr">
        <is>
          <t>17-05-2026</t>
        </is>
      </c>
      <c r="C666" t="inlineStr">
        <is>
          <t>S58</t>
        </is>
      </c>
      <c r="D666" t="inlineStr">
        <is>
          <t>SKIDDER</t>
        </is>
      </c>
      <c r="E666" t="inlineStr">
        <is>
          <t>COIHUECO Y OTROS (BB)</t>
        </is>
      </c>
      <c r="F666" t="inlineStr">
        <is>
          <t>PIRA</t>
        </is>
      </c>
      <c r="G666" t="n">
        <v>720</v>
      </c>
      <c r="H666" t="n">
        <v>0</v>
      </c>
      <c r="I666" t="n">
        <v>9</v>
      </c>
      <c r="J666" t="n">
        <v>63</v>
      </c>
      <c r="K666" t="n">
        <v>0</v>
      </c>
      <c r="L666" t="n">
        <v>1.3</v>
      </c>
      <c r="M666" t="n">
        <v>0</v>
      </c>
      <c r="N666" t="n">
        <v>120</v>
      </c>
      <c r="O666" t="n">
        <v>100</v>
      </c>
      <c r="P666" t="n">
        <v>0.14</v>
      </c>
    </row>
    <row r="667">
      <c r="A667" t="n">
        <v>827896</v>
      </c>
      <c r="B667" t="inlineStr">
        <is>
          <t>17-05-2026</t>
        </is>
      </c>
      <c r="C667" t="inlineStr">
        <is>
          <t>S58</t>
        </is>
      </c>
      <c r="D667" t="inlineStr">
        <is>
          <t>SKIDDER</t>
        </is>
      </c>
      <c r="E667" t="inlineStr">
        <is>
          <t>COIHUECO Y OTROS (BB)</t>
        </is>
      </c>
      <c r="F667" t="inlineStr">
        <is>
          <t>PIRA</t>
        </is>
      </c>
      <c r="G667" t="n">
        <v>720</v>
      </c>
      <c r="H667" t="n">
        <v>0</v>
      </c>
      <c r="I667" t="n">
        <v>9</v>
      </c>
      <c r="J667" t="n">
        <v>63</v>
      </c>
      <c r="K667" t="n">
        <v>0</v>
      </c>
      <c r="L667" t="n">
        <v>6.87</v>
      </c>
      <c r="M667" t="n">
        <v>0</v>
      </c>
      <c r="N667" t="n">
        <v>120</v>
      </c>
      <c r="O667" t="n">
        <v>100</v>
      </c>
      <c r="P667" t="n">
        <v>0.76</v>
      </c>
    </row>
    <row r="668">
      <c r="A668" t="n">
        <v>827896</v>
      </c>
      <c r="B668" t="inlineStr">
        <is>
          <t>17-05-2026</t>
        </is>
      </c>
      <c r="C668" t="inlineStr">
        <is>
          <t>S58</t>
        </is>
      </c>
      <c r="D668" t="inlineStr">
        <is>
          <t>SKIDDER</t>
        </is>
      </c>
      <c r="E668" t="inlineStr">
        <is>
          <t>COIHUECO Y OTROS (BB)</t>
        </is>
      </c>
      <c r="F668" t="inlineStr">
        <is>
          <t>PIRA</t>
        </is>
      </c>
      <c r="G668" t="n">
        <v>720</v>
      </c>
      <c r="H668" t="n">
        <v>0</v>
      </c>
      <c r="I668" t="n">
        <v>9</v>
      </c>
      <c r="J668" t="n">
        <v>63</v>
      </c>
      <c r="K668" t="n">
        <v>0</v>
      </c>
      <c r="L668" t="n">
        <v>33.09</v>
      </c>
      <c r="M668" t="n">
        <v>0</v>
      </c>
      <c r="N668" t="n">
        <v>120</v>
      </c>
      <c r="O668" t="n">
        <v>100</v>
      </c>
      <c r="P668" t="n">
        <v>3.68</v>
      </c>
    </row>
    <row r="669">
      <c r="A669" t="n">
        <v>827896</v>
      </c>
      <c r="B669" t="inlineStr">
        <is>
          <t>17-05-2026</t>
        </is>
      </c>
      <c r="C669" t="inlineStr">
        <is>
          <t>S58</t>
        </is>
      </c>
      <c r="D669" t="inlineStr">
        <is>
          <t>SKIDDER</t>
        </is>
      </c>
      <c r="E669" t="inlineStr">
        <is>
          <t>COIHUECO Y OTROS (BB)</t>
        </is>
      </c>
      <c r="F669" t="inlineStr">
        <is>
          <t>PIRA</t>
        </is>
      </c>
      <c r="G669" t="n">
        <v>720</v>
      </c>
      <c r="H669" t="n">
        <v>0</v>
      </c>
      <c r="I669" t="n">
        <v>9</v>
      </c>
      <c r="J669" t="n">
        <v>63</v>
      </c>
      <c r="K669" t="n">
        <v>0</v>
      </c>
      <c r="L669" t="n">
        <v>22.61</v>
      </c>
      <c r="M669" t="n">
        <v>0</v>
      </c>
      <c r="N669" t="n">
        <v>120</v>
      </c>
      <c r="O669" t="n">
        <v>100</v>
      </c>
      <c r="P669" t="n">
        <v>2.51</v>
      </c>
    </row>
    <row r="670">
      <c r="A670" t="n">
        <v>827896</v>
      </c>
      <c r="B670" t="inlineStr">
        <is>
          <t>17-05-2026</t>
        </is>
      </c>
      <c r="C670" t="inlineStr">
        <is>
          <t>S58</t>
        </is>
      </c>
      <c r="D670" t="inlineStr">
        <is>
          <t>SKIDDER</t>
        </is>
      </c>
      <c r="E670" t="inlineStr">
        <is>
          <t>COIHUECO Y OTROS (BB)</t>
        </is>
      </c>
      <c r="F670" t="inlineStr">
        <is>
          <t>PIRA</t>
        </is>
      </c>
      <c r="G670" t="n">
        <v>720</v>
      </c>
      <c r="H670" t="n">
        <v>0</v>
      </c>
      <c r="I670" t="n">
        <v>9</v>
      </c>
      <c r="J670" t="n">
        <v>63</v>
      </c>
      <c r="K670" t="n">
        <v>0</v>
      </c>
      <c r="L670" t="n">
        <v>26.22</v>
      </c>
      <c r="M670" t="n">
        <v>0</v>
      </c>
      <c r="N670" t="n">
        <v>120</v>
      </c>
      <c r="O670" t="n">
        <v>100</v>
      </c>
      <c r="P670" t="n">
        <v>2.91</v>
      </c>
    </row>
    <row r="671">
      <c r="A671" t="n">
        <v>827899</v>
      </c>
      <c r="B671" t="inlineStr">
        <is>
          <t>17-05-2026</t>
        </is>
      </c>
      <c r="C671" t="inlineStr">
        <is>
          <t>S246</t>
        </is>
      </c>
      <c r="D671" t="inlineStr">
        <is>
          <t>SKIDDER</t>
        </is>
      </c>
      <c r="E671" t="inlineStr">
        <is>
          <t>LAS MERCEDES C13</t>
        </is>
      </c>
      <c r="F671" t="inlineStr">
        <is>
          <t>PIRA</t>
        </is>
      </c>
      <c r="G671" t="n">
        <v>720</v>
      </c>
      <c r="H671" t="n">
        <v>0</v>
      </c>
      <c r="I671" t="n">
        <v>8</v>
      </c>
      <c r="J671" t="n">
        <v>45</v>
      </c>
      <c r="K671" t="n">
        <v>0</v>
      </c>
      <c r="L671" t="n">
        <v>94.78</v>
      </c>
      <c r="M671" t="n">
        <v>180</v>
      </c>
      <c r="N671" t="n">
        <v>180</v>
      </c>
      <c r="O671" t="n">
        <v>99.59999999999999</v>
      </c>
      <c r="P671" t="n">
        <v>11.85</v>
      </c>
    </row>
    <row r="672">
      <c r="A672" t="n">
        <v>827899</v>
      </c>
      <c r="B672" t="inlineStr">
        <is>
          <t>17-05-2026</t>
        </is>
      </c>
      <c r="C672" t="inlineStr">
        <is>
          <t>S246</t>
        </is>
      </c>
      <c r="D672" t="inlineStr">
        <is>
          <t>SKIDDER</t>
        </is>
      </c>
      <c r="E672" t="inlineStr">
        <is>
          <t>LAS MERCEDES C13</t>
        </is>
      </c>
      <c r="F672" t="inlineStr">
        <is>
          <t>PIRA</t>
        </is>
      </c>
      <c r="G672" t="n">
        <v>720</v>
      </c>
      <c r="H672" t="n">
        <v>0</v>
      </c>
      <c r="I672" t="n">
        <v>8</v>
      </c>
      <c r="J672" t="n">
        <v>45</v>
      </c>
      <c r="K672" t="n">
        <v>0</v>
      </c>
      <c r="L672" t="n">
        <v>41.8</v>
      </c>
      <c r="M672" t="n">
        <v>180</v>
      </c>
      <c r="N672" t="n">
        <v>180</v>
      </c>
      <c r="O672" t="n">
        <v>99.59999999999999</v>
      </c>
      <c r="P672" t="n">
        <v>5.22</v>
      </c>
    </row>
    <row r="673">
      <c r="A673" t="n">
        <v>827917</v>
      </c>
      <c r="B673" t="inlineStr">
        <is>
          <t>17-05-2026</t>
        </is>
      </c>
      <c r="C673" t="inlineStr">
        <is>
          <t>T125</t>
        </is>
      </c>
      <c r="D673" t="inlineStr">
        <is>
          <t>TORRE500</t>
        </is>
      </c>
      <c r="E673" t="inlineStr">
        <is>
          <t>POLHUIN</t>
        </is>
      </c>
      <c r="F673" t="inlineStr">
        <is>
          <t>EUGL</t>
        </is>
      </c>
      <c r="G673" t="n">
        <v>720</v>
      </c>
      <c r="H673" t="n">
        <v>0</v>
      </c>
      <c r="I673" t="n">
        <v>2</v>
      </c>
      <c r="J673" t="n">
        <v>22</v>
      </c>
      <c r="K673" t="n">
        <v>0</v>
      </c>
      <c r="L673" t="n">
        <v>21.39</v>
      </c>
      <c r="M673" t="n">
        <v>0</v>
      </c>
      <c r="N673" t="n">
        <v>540</v>
      </c>
      <c r="O673" t="n">
        <v>100</v>
      </c>
      <c r="P673" t="n">
        <v>10.7</v>
      </c>
    </row>
    <row r="674">
      <c r="A674" t="n">
        <v>827921</v>
      </c>
      <c r="B674" t="inlineStr">
        <is>
          <t>17-05-2026</t>
        </is>
      </c>
      <c r="C674" t="inlineStr">
        <is>
          <t>TEA08</t>
        </is>
      </c>
      <c r="D674" t="inlineStr">
        <is>
          <t>FORWINCH</t>
        </is>
      </c>
      <c r="E674" t="inlineStr">
        <is>
          <t>COIHUECO Y OTROS (BB)</t>
        </is>
      </c>
      <c r="F674" t="inlineStr">
        <is>
          <t>PIRA</t>
        </is>
      </c>
      <c r="G674" t="n">
        <v>720</v>
      </c>
      <c r="H674" t="n">
        <v>0</v>
      </c>
      <c r="I674" t="n">
        <v>9</v>
      </c>
      <c r="J674" t="n">
        <v>60</v>
      </c>
      <c r="K674" t="n">
        <v>0</v>
      </c>
      <c r="L674" t="n">
        <v>21.95</v>
      </c>
      <c r="M674" t="n">
        <v>0</v>
      </c>
      <c r="N674" t="n">
        <v>120</v>
      </c>
      <c r="O674" t="n">
        <v>100</v>
      </c>
      <c r="P674" t="n">
        <v>2.44</v>
      </c>
    </row>
    <row r="675">
      <c r="A675" t="n">
        <v>827921</v>
      </c>
      <c r="B675" t="inlineStr">
        <is>
          <t>17-05-2026</t>
        </is>
      </c>
      <c r="C675" t="inlineStr">
        <is>
          <t>TEA08</t>
        </is>
      </c>
      <c r="D675" t="inlineStr">
        <is>
          <t>FORWINCH</t>
        </is>
      </c>
      <c r="E675" t="inlineStr">
        <is>
          <t>COIHUECO Y OTROS (BB)</t>
        </is>
      </c>
      <c r="F675" t="inlineStr">
        <is>
          <t>PIRA</t>
        </is>
      </c>
      <c r="G675" t="n">
        <v>720</v>
      </c>
      <c r="H675" t="n">
        <v>0</v>
      </c>
      <c r="I675" t="n">
        <v>9</v>
      </c>
      <c r="J675" t="n">
        <v>60</v>
      </c>
      <c r="K675" t="n">
        <v>0</v>
      </c>
      <c r="L675" t="n">
        <v>38.94</v>
      </c>
      <c r="M675" t="n">
        <v>0</v>
      </c>
      <c r="N675" t="n">
        <v>120</v>
      </c>
      <c r="O675" t="n">
        <v>100</v>
      </c>
      <c r="P675" t="n">
        <v>4.33</v>
      </c>
    </row>
    <row r="676">
      <c r="A676" t="n">
        <v>827921</v>
      </c>
      <c r="B676" t="inlineStr">
        <is>
          <t>17-05-2026</t>
        </is>
      </c>
      <c r="C676" t="inlineStr">
        <is>
          <t>TEA08</t>
        </is>
      </c>
      <c r="D676" t="inlineStr">
        <is>
          <t>FORWINCH</t>
        </is>
      </c>
      <c r="E676" t="inlineStr">
        <is>
          <t>COIHUECO Y OTROS (BB)</t>
        </is>
      </c>
      <c r="F676" t="inlineStr">
        <is>
          <t>PIRA</t>
        </is>
      </c>
      <c r="G676" t="n">
        <v>720</v>
      </c>
      <c r="H676" t="n">
        <v>0</v>
      </c>
      <c r="I676" t="n">
        <v>9</v>
      </c>
      <c r="J676" t="n">
        <v>60</v>
      </c>
      <c r="K676" t="n">
        <v>0</v>
      </c>
      <c r="L676" t="n">
        <v>111.93</v>
      </c>
      <c r="M676" t="n">
        <v>0</v>
      </c>
      <c r="N676" t="n">
        <v>120</v>
      </c>
      <c r="O676" t="n">
        <v>100</v>
      </c>
      <c r="P676" t="n">
        <v>12.44</v>
      </c>
    </row>
    <row r="677">
      <c r="A677" t="n">
        <v>827921</v>
      </c>
      <c r="B677" t="inlineStr">
        <is>
          <t>17-05-2026</t>
        </is>
      </c>
      <c r="C677" t="inlineStr">
        <is>
          <t>TEA08</t>
        </is>
      </c>
      <c r="D677" t="inlineStr">
        <is>
          <t>FORWINCH</t>
        </is>
      </c>
      <c r="E677" t="inlineStr">
        <is>
          <t>COIHUECO Y OTROS (BB)</t>
        </is>
      </c>
      <c r="F677" t="inlineStr">
        <is>
          <t>PIRA</t>
        </is>
      </c>
      <c r="G677" t="n">
        <v>720</v>
      </c>
      <c r="H677" t="n">
        <v>0</v>
      </c>
      <c r="I677" t="n">
        <v>9</v>
      </c>
      <c r="J677" t="n">
        <v>60</v>
      </c>
      <c r="K677" t="n">
        <v>0</v>
      </c>
      <c r="L677" t="n">
        <v>133.76</v>
      </c>
      <c r="M677" t="n">
        <v>0</v>
      </c>
      <c r="N677" t="n">
        <v>120</v>
      </c>
      <c r="O677" t="n">
        <v>100</v>
      </c>
      <c r="P677" t="n">
        <v>14.86</v>
      </c>
    </row>
    <row r="678">
      <c r="A678" t="n">
        <v>827939</v>
      </c>
      <c r="B678" t="inlineStr">
        <is>
          <t>17-05-2026</t>
        </is>
      </c>
      <c r="C678" t="inlineStr">
        <is>
          <t>S223</t>
        </is>
      </c>
      <c r="D678" t="inlineStr">
        <is>
          <t>SKIDDER</t>
        </is>
      </c>
      <c r="E678" t="inlineStr">
        <is>
          <t>LAS ULLOAS (BB)</t>
        </is>
      </c>
      <c r="F678" t="inlineStr">
        <is>
          <t>PIRA</t>
        </is>
      </c>
      <c r="G678" t="n">
        <v>720</v>
      </c>
      <c r="H678" t="n">
        <v>0</v>
      </c>
      <c r="I678" t="n">
        <v>8</v>
      </c>
      <c r="J678" t="n">
        <v>22</v>
      </c>
      <c r="K678" t="n">
        <v>0</v>
      </c>
      <c r="L678" t="n">
        <v>1.3</v>
      </c>
      <c r="M678" t="n">
        <v>0</v>
      </c>
      <c r="N678" t="n">
        <v>180</v>
      </c>
      <c r="O678" t="n">
        <v>100</v>
      </c>
      <c r="P678" t="n">
        <v>0.16</v>
      </c>
    </row>
    <row r="679">
      <c r="A679" t="n">
        <v>827939</v>
      </c>
      <c r="B679" t="inlineStr">
        <is>
          <t>17-05-2026</t>
        </is>
      </c>
      <c r="C679" t="inlineStr">
        <is>
          <t>S223</t>
        </is>
      </c>
      <c r="D679" t="inlineStr">
        <is>
          <t>SKIDDER</t>
        </is>
      </c>
      <c r="E679" t="inlineStr">
        <is>
          <t>LAS ULLOAS (BB)</t>
        </is>
      </c>
      <c r="F679" t="inlineStr">
        <is>
          <t>PIRA</t>
        </is>
      </c>
      <c r="G679" t="n">
        <v>720</v>
      </c>
      <c r="H679" t="n">
        <v>0</v>
      </c>
      <c r="I679" t="n">
        <v>8</v>
      </c>
      <c r="J679" t="n">
        <v>22</v>
      </c>
      <c r="K679" t="n">
        <v>0</v>
      </c>
      <c r="L679" t="n">
        <v>50.4</v>
      </c>
      <c r="M679" t="n">
        <v>0</v>
      </c>
      <c r="N679" t="n">
        <v>180</v>
      </c>
      <c r="O679" t="n">
        <v>100</v>
      </c>
      <c r="P679" t="n">
        <v>6.3</v>
      </c>
    </row>
    <row r="680">
      <c r="A680" t="n">
        <v>827939</v>
      </c>
      <c r="B680" t="inlineStr">
        <is>
          <t>17-05-2026</t>
        </is>
      </c>
      <c r="C680" t="inlineStr">
        <is>
          <t>S223</t>
        </is>
      </c>
      <c r="D680" t="inlineStr">
        <is>
          <t>SKIDDER</t>
        </is>
      </c>
      <c r="E680" t="inlineStr">
        <is>
          <t>LAS ULLOAS (BB)</t>
        </is>
      </c>
      <c r="F680" t="inlineStr">
        <is>
          <t>PIRA</t>
        </is>
      </c>
      <c r="G680" t="n">
        <v>720</v>
      </c>
      <c r="H680" t="n">
        <v>0</v>
      </c>
      <c r="I680" t="n">
        <v>8</v>
      </c>
      <c r="J680" t="n">
        <v>22</v>
      </c>
      <c r="K680" t="n">
        <v>0</v>
      </c>
      <c r="L680" t="n">
        <v>12.46</v>
      </c>
      <c r="M680" t="n">
        <v>0</v>
      </c>
      <c r="N680" t="n">
        <v>180</v>
      </c>
      <c r="O680" t="n">
        <v>100</v>
      </c>
      <c r="P680" t="n">
        <v>1.56</v>
      </c>
    </row>
    <row r="681">
      <c r="A681" t="n">
        <v>827939</v>
      </c>
      <c r="B681" t="inlineStr">
        <is>
          <t>17-05-2026</t>
        </is>
      </c>
      <c r="C681" t="inlineStr">
        <is>
          <t>S223</t>
        </is>
      </c>
      <c r="D681" t="inlineStr">
        <is>
          <t>SKIDDER</t>
        </is>
      </c>
      <c r="E681" t="inlineStr">
        <is>
          <t>LAS ULLOAS (BB)</t>
        </is>
      </c>
      <c r="F681" t="inlineStr">
        <is>
          <t>PIRA</t>
        </is>
      </c>
      <c r="G681" t="n">
        <v>720</v>
      </c>
      <c r="H681" t="n">
        <v>0</v>
      </c>
      <c r="I681" t="n">
        <v>8</v>
      </c>
      <c r="J681" t="n">
        <v>22</v>
      </c>
      <c r="K681" t="n">
        <v>0</v>
      </c>
      <c r="L681" t="n">
        <v>66.98999999999999</v>
      </c>
      <c r="M681" t="n">
        <v>0</v>
      </c>
      <c r="N681" t="n">
        <v>180</v>
      </c>
      <c r="O681" t="n">
        <v>100</v>
      </c>
      <c r="P681" t="n">
        <v>8.369999999999999</v>
      </c>
    </row>
    <row r="682">
      <c r="A682" t="n">
        <v>827945</v>
      </c>
      <c r="B682" t="inlineStr">
        <is>
          <t>17-05-2026</t>
        </is>
      </c>
      <c r="C682" t="inlineStr">
        <is>
          <t>TEA02</t>
        </is>
      </c>
      <c r="D682" t="inlineStr">
        <is>
          <t>FORWINCH</t>
        </is>
      </c>
      <c r="E682" t="inlineStr">
        <is>
          <t>LOMA DE LA VACA</t>
        </is>
      </c>
      <c r="F682" t="inlineStr">
        <is>
          <t>PIRA</t>
        </is>
      </c>
      <c r="G682" t="n">
        <v>720</v>
      </c>
      <c r="H682" t="n">
        <v>0</v>
      </c>
      <c r="I682" t="n">
        <v>10.5</v>
      </c>
      <c r="J682" t="n">
        <v>33</v>
      </c>
      <c r="K682" t="n">
        <v>0</v>
      </c>
      <c r="L682" t="n">
        <v>124.49</v>
      </c>
      <c r="M682" t="n">
        <v>0</v>
      </c>
      <c r="N682" t="n">
        <v>30</v>
      </c>
      <c r="O682" t="n">
        <v>100</v>
      </c>
      <c r="P682" t="n">
        <v>11.86</v>
      </c>
    </row>
    <row r="683">
      <c r="A683" t="n">
        <v>827945</v>
      </c>
      <c r="B683" t="inlineStr">
        <is>
          <t>17-05-2026</t>
        </is>
      </c>
      <c r="C683" t="inlineStr">
        <is>
          <t>TEA02</t>
        </is>
      </c>
      <c r="D683" t="inlineStr">
        <is>
          <t>FORWINCH</t>
        </is>
      </c>
      <c r="E683" t="inlineStr">
        <is>
          <t>LOMA DE LA VACA</t>
        </is>
      </c>
      <c r="F683" t="inlineStr">
        <is>
          <t>PIRA</t>
        </is>
      </c>
      <c r="G683" t="n">
        <v>720</v>
      </c>
      <c r="H683" t="n">
        <v>0</v>
      </c>
      <c r="I683" t="n">
        <v>10.5</v>
      </c>
      <c r="J683" t="n">
        <v>33</v>
      </c>
      <c r="K683" t="n">
        <v>0</v>
      </c>
      <c r="L683" t="n">
        <v>93.27</v>
      </c>
      <c r="M683" t="n">
        <v>0</v>
      </c>
      <c r="N683" t="n">
        <v>30</v>
      </c>
      <c r="O683" t="n">
        <v>100</v>
      </c>
      <c r="P683" t="n">
        <v>8.880000000000001</v>
      </c>
    </row>
    <row r="684">
      <c r="A684" t="n">
        <v>827980</v>
      </c>
      <c r="B684" t="inlineStr">
        <is>
          <t>17-05-2026</t>
        </is>
      </c>
      <c r="C684" t="inlineStr">
        <is>
          <t>S123</t>
        </is>
      </c>
      <c r="D684" t="inlineStr">
        <is>
          <t>SKIDDER</t>
        </is>
      </c>
      <c r="E684" t="inlineStr">
        <is>
          <t>QUIRIQUINO</t>
        </is>
      </c>
      <c r="F684" t="inlineStr">
        <is>
          <t>PIRA</t>
        </is>
      </c>
      <c r="G684" t="n">
        <v>720</v>
      </c>
      <c r="H684" t="n">
        <v>0</v>
      </c>
      <c r="I684" t="n">
        <v>7</v>
      </c>
      <c r="J684" t="n">
        <v>57</v>
      </c>
      <c r="K684" t="n">
        <v>0</v>
      </c>
      <c r="L684" t="n">
        <v>52.92</v>
      </c>
      <c r="M684" t="n">
        <v>120</v>
      </c>
      <c r="N684" t="n">
        <v>240</v>
      </c>
      <c r="O684" t="n">
        <v>99.7</v>
      </c>
      <c r="P684" t="n">
        <v>7.56</v>
      </c>
    </row>
    <row r="685">
      <c r="A685" t="n">
        <v>827980</v>
      </c>
      <c r="B685" t="inlineStr">
        <is>
          <t>17-05-2026</t>
        </is>
      </c>
      <c r="C685" t="inlineStr">
        <is>
          <t>S123</t>
        </is>
      </c>
      <c r="D685" t="inlineStr">
        <is>
          <t>SKIDDER</t>
        </is>
      </c>
      <c r="E685" t="inlineStr">
        <is>
          <t>QUIRIQUINO</t>
        </is>
      </c>
      <c r="F685" t="inlineStr">
        <is>
          <t>PIRA</t>
        </is>
      </c>
      <c r="G685" t="n">
        <v>720</v>
      </c>
      <c r="H685" t="n">
        <v>0</v>
      </c>
      <c r="I685" t="n">
        <v>7</v>
      </c>
      <c r="J685" t="n">
        <v>57</v>
      </c>
      <c r="K685" t="n">
        <v>0</v>
      </c>
      <c r="L685" t="n">
        <v>35.6</v>
      </c>
      <c r="M685" t="n">
        <v>120</v>
      </c>
      <c r="N685" t="n">
        <v>240</v>
      </c>
      <c r="O685" t="n">
        <v>99.7</v>
      </c>
      <c r="P685" t="n">
        <v>5.08</v>
      </c>
    </row>
    <row r="686">
      <c r="A686" t="n">
        <v>827980</v>
      </c>
      <c r="B686" t="inlineStr">
        <is>
          <t>17-05-2026</t>
        </is>
      </c>
      <c r="C686" t="inlineStr">
        <is>
          <t>S123</t>
        </is>
      </c>
      <c r="D686" t="inlineStr">
        <is>
          <t>SKIDDER</t>
        </is>
      </c>
      <c r="E686" t="inlineStr">
        <is>
          <t>QUIRIQUINO</t>
        </is>
      </c>
      <c r="F686" t="inlineStr">
        <is>
          <t>PIRA</t>
        </is>
      </c>
      <c r="G686" t="n">
        <v>720</v>
      </c>
      <c r="H686" t="n">
        <v>0</v>
      </c>
      <c r="I686" t="n">
        <v>7</v>
      </c>
      <c r="J686" t="n">
        <v>57</v>
      </c>
      <c r="K686" t="n">
        <v>0</v>
      </c>
      <c r="L686" t="n">
        <v>10.28</v>
      </c>
      <c r="M686" t="n">
        <v>120</v>
      </c>
      <c r="N686" t="n">
        <v>240</v>
      </c>
      <c r="O686" t="n">
        <v>99.7</v>
      </c>
      <c r="P686" t="n">
        <v>1.47</v>
      </c>
    </row>
    <row r="687">
      <c r="A687" t="n">
        <v>827980</v>
      </c>
      <c r="B687" t="inlineStr">
        <is>
          <t>17-05-2026</t>
        </is>
      </c>
      <c r="C687" t="inlineStr">
        <is>
          <t>S123</t>
        </is>
      </c>
      <c r="D687" t="inlineStr">
        <is>
          <t>SKIDDER</t>
        </is>
      </c>
      <c r="E687" t="inlineStr">
        <is>
          <t>QUIRIQUINO</t>
        </is>
      </c>
      <c r="F687" t="inlineStr">
        <is>
          <t>PIRA</t>
        </is>
      </c>
      <c r="G687" t="n">
        <v>720</v>
      </c>
      <c r="H687" t="n">
        <v>0</v>
      </c>
      <c r="I687" t="n">
        <v>7</v>
      </c>
      <c r="J687" t="n">
        <v>57</v>
      </c>
      <c r="K687" t="n">
        <v>0</v>
      </c>
      <c r="L687" t="n">
        <v>58.61</v>
      </c>
      <c r="M687" t="n">
        <v>120</v>
      </c>
      <c r="N687" t="n">
        <v>240</v>
      </c>
      <c r="O687" t="n">
        <v>99.7</v>
      </c>
      <c r="P687" t="n">
        <v>8.369999999999999</v>
      </c>
    </row>
    <row r="688">
      <c r="A688" t="n">
        <v>827980</v>
      </c>
      <c r="B688" t="inlineStr">
        <is>
          <t>17-05-2026</t>
        </is>
      </c>
      <c r="C688" t="inlineStr">
        <is>
          <t>S123</t>
        </is>
      </c>
      <c r="D688" t="inlineStr">
        <is>
          <t>SKIDDER</t>
        </is>
      </c>
      <c r="E688" t="inlineStr">
        <is>
          <t>QUIRIQUINO</t>
        </is>
      </c>
      <c r="F688" t="inlineStr">
        <is>
          <t>PIRA</t>
        </is>
      </c>
      <c r="G688" t="n">
        <v>720</v>
      </c>
      <c r="H688" t="n">
        <v>0</v>
      </c>
      <c r="I688" t="n">
        <v>7</v>
      </c>
      <c r="J688" t="n">
        <v>57</v>
      </c>
      <c r="K688" t="n">
        <v>0</v>
      </c>
      <c r="L688" t="n">
        <v>163.4</v>
      </c>
      <c r="M688" t="n">
        <v>120</v>
      </c>
      <c r="N688" t="n">
        <v>240</v>
      </c>
      <c r="O688" t="n">
        <v>99.7</v>
      </c>
      <c r="P688" t="n">
        <v>23.34</v>
      </c>
    </row>
    <row r="689">
      <c r="A689" t="n">
        <v>828020</v>
      </c>
      <c r="B689" t="inlineStr">
        <is>
          <t>18-05-2026</t>
        </is>
      </c>
      <c r="C689" t="inlineStr">
        <is>
          <t>S123</t>
        </is>
      </c>
      <c r="D689" t="inlineStr">
        <is>
          <t>SKIDDER</t>
        </is>
      </c>
      <c r="E689" t="inlineStr">
        <is>
          <t>QUIRIQUINO</t>
        </is>
      </c>
      <c r="F689" t="inlineStr">
        <is>
          <t>PIRA</t>
        </is>
      </c>
      <c r="G689" t="n">
        <v>720</v>
      </c>
      <c r="H689" t="n">
        <v>0</v>
      </c>
      <c r="I689" t="n">
        <v>5</v>
      </c>
      <c r="J689" t="n">
        <v>30</v>
      </c>
      <c r="K689" t="n">
        <v>0</v>
      </c>
      <c r="L689" t="n">
        <v>6.38</v>
      </c>
      <c r="M689" t="n">
        <v>300</v>
      </c>
      <c r="N689" t="n">
        <v>360</v>
      </c>
      <c r="O689" t="n">
        <v>99.3</v>
      </c>
      <c r="P689" t="n">
        <v>1.28</v>
      </c>
    </row>
    <row r="690">
      <c r="A690" t="n">
        <v>828020</v>
      </c>
      <c r="B690" t="inlineStr">
        <is>
          <t>18-05-2026</t>
        </is>
      </c>
      <c r="C690" t="inlineStr">
        <is>
          <t>S123</t>
        </is>
      </c>
      <c r="D690" t="inlineStr">
        <is>
          <t>SKIDDER</t>
        </is>
      </c>
      <c r="E690" t="inlineStr">
        <is>
          <t>QUIRIQUINO</t>
        </is>
      </c>
      <c r="F690" t="inlineStr">
        <is>
          <t>PIRA</t>
        </is>
      </c>
      <c r="G690" t="n">
        <v>720</v>
      </c>
      <c r="H690" t="n">
        <v>0</v>
      </c>
      <c r="I690" t="n">
        <v>5</v>
      </c>
      <c r="J690" t="n">
        <v>30</v>
      </c>
      <c r="K690" t="n">
        <v>0</v>
      </c>
      <c r="L690" t="n">
        <v>19.84</v>
      </c>
      <c r="M690" t="n">
        <v>300</v>
      </c>
      <c r="N690" t="n">
        <v>360</v>
      </c>
      <c r="O690" t="n">
        <v>99.3</v>
      </c>
      <c r="P690" t="n">
        <v>3.97</v>
      </c>
    </row>
    <row r="691">
      <c r="A691" t="n">
        <v>828020</v>
      </c>
      <c r="B691" t="inlineStr">
        <is>
          <t>18-05-2026</t>
        </is>
      </c>
      <c r="C691" t="inlineStr">
        <is>
          <t>S123</t>
        </is>
      </c>
      <c r="D691" t="inlineStr">
        <is>
          <t>SKIDDER</t>
        </is>
      </c>
      <c r="E691" t="inlineStr">
        <is>
          <t>QUIRIQUINO</t>
        </is>
      </c>
      <c r="F691" t="inlineStr">
        <is>
          <t>PIRA</t>
        </is>
      </c>
      <c r="G691" t="n">
        <v>720</v>
      </c>
      <c r="H691" t="n">
        <v>0</v>
      </c>
      <c r="I691" t="n">
        <v>5</v>
      </c>
      <c r="J691" t="n">
        <v>30</v>
      </c>
      <c r="K691" t="n">
        <v>0</v>
      </c>
      <c r="L691" t="n">
        <v>8.51</v>
      </c>
      <c r="M691" t="n">
        <v>300</v>
      </c>
      <c r="N691" t="n">
        <v>360</v>
      </c>
      <c r="O691" t="n">
        <v>99.3</v>
      </c>
      <c r="P691" t="n">
        <v>1.7</v>
      </c>
    </row>
    <row r="692">
      <c r="A692" t="n">
        <v>828020</v>
      </c>
      <c r="B692" t="inlineStr">
        <is>
          <t>18-05-2026</t>
        </is>
      </c>
      <c r="C692" t="inlineStr">
        <is>
          <t>S123</t>
        </is>
      </c>
      <c r="D692" t="inlineStr">
        <is>
          <t>SKIDDER</t>
        </is>
      </c>
      <c r="E692" t="inlineStr">
        <is>
          <t>QUIRIQUINO</t>
        </is>
      </c>
      <c r="F692" t="inlineStr">
        <is>
          <t>PIRA</t>
        </is>
      </c>
      <c r="G692" t="n">
        <v>720</v>
      </c>
      <c r="H692" t="n">
        <v>0</v>
      </c>
      <c r="I692" t="n">
        <v>5</v>
      </c>
      <c r="J692" t="n">
        <v>30</v>
      </c>
      <c r="K692" t="n">
        <v>0</v>
      </c>
      <c r="L692" t="n">
        <v>8.57</v>
      </c>
      <c r="M692" t="n">
        <v>300</v>
      </c>
      <c r="N692" t="n">
        <v>360</v>
      </c>
      <c r="O692" t="n">
        <v>99.3</v>
      </c>
      <c r="P692" t="n">
        <v>1.71</v>
      </c>
    </row>
    <row r="693">
      <c r="A693" t="n">
        <v>828020</v>
      </c>
      <c r="B693" t="inlineStr">
        <is>
          <t>18-05-2026</t>
        </is>
      </c>
      <c r="C693" t="inlineStr">
        <is>
          <t>S123</t>
        </is>
      </c>
      <c r="D693" t="inlineStr">
        <is>
          <t>SKIDDER</t>
        </is>
      </c>
      <c r="E693" t="inlineStr">
        <is>
          <t>QUIRIQUINO</t>
        </is>
      </c>
      <c r="F693" t="inlineStr">
        <is>
          <t>PIRA</t>
        </is>
      </c>
      <c r="G693" t="n">
        <v>720</v>
      </c>
      <c r="H693" t="n">
        <v>0</v>
      </c>
      <c r="I693" t="n">
        <v>5</v>
      </c>
      <c r="J693" t="n">
        <v>30</v>
      </c>
      <c r="K693" t="n">
        <v>0</v>
      </c>
      <c r="L693" t="n">
        <v>30.91</v>
      </c>
      <c r="M693" t="n">
        <v>300</v>
      </c>
      <c r="N693" t="n">
        <v>360</v>
      </c>
      <c r="O693" t="n">
        <v>99.3</v>
      </c>
      <c r="P693" t="n">
        <v>6.18</v>
      </c>
    </row>
    <row r="694">
      <c r="A694" t="n">
        <v>828020</v>
      </c>
      <c r="B694" t="inlineStr">
        <is>
          <t>18-05-2026</t>
        </is>
      </c>
      <c r="C694" t="inlineStr">
        <is>
          <t>S123</t>
        </is>
      </c>
      <c r="D694" t="inlineStr">
        <is>
          <t>SKIDDER</t>
        </is>
      </c>
      <c r="E694" t="inlineStr">
        <is>
          <t>QUIRIQUINO</t>
        </is>
      </c>
      <c r="F694" t="inlineStr">
        <is>
          <t>PIRA</t>
        </is>
      </c>
      <c r="G694" t="n">
        <v>720</v>
      </c>
      <c r="H694" t="n">
        <v>0</v>
      </c>
      <c r="I694" t="n">
        <v>5</v>
      </c>
      <c r="J694" t="n">
        <v>30</v>
      </c>
      <c r="K694" t="n">
        <v>0</v>
      </c>
      <c r="L694" t="n">
        <v>98.23</v>
      </c>
      <c r="M694" t="n">
        <v>300</v>
      </c>
      <c r="N694" t="n">
        <v>360</v>
      </c>
      <c r="O694" t="n">
        <v>99.3</v>
      </c>
      <c r="P694" t="n">
        <v>19.65</v>
      </c>
    </row>
    <row r="695">
      <c r="A695" t="n">
        <v>828024</v>
      </c>
      <c r="B695" t="inlineStr">
        <is>
          <t>18-05-2026</t>
        </is>
      </c>
      <c r="C695" t="inlineStr">
        <is>
          <t>MG5</t>
        </is>
      </c>
      <c r="D695" t="inlineStr">
        <is>
          <t>GRAPPLE</t>
        </is>
      </c>
      <c r="E695" t="inlineStr">
        <is>
          <t>CE-27 ESPINALILLO YBAR</t>
        </is>
      </c>
      <c r="F695" t="inlineStr">
        <is>
          <t>PIRA</t>
        </is>
      </c>
      <c r="G695" t="n">
        <v>720</v>
      </c>
      <c r="H695" t="n">
        <v>0</v>
      </c>
      <c r="I695" t="n">
        <v>11</v>
      </c>
      <c r="J695" t="n">
        <v>98</v>
      </c>
      <c r="K695" t="n">
        <v>0</v>
      </c>
      <c r="L695" t="n">
        <v>2.55</v>
      </c>
      <c r="M695" t="n">
        <v>0</v>
      </c>
      <c r="N695" t="n">
        <v>0</v>
      </c>
      <c r="O695" t="n">
        <v>100</v>
      </c>
      <c r="P695" t="n">
        <v>0.23</v>
      </c>
    </row>
    <row r="696">
      <c r="A696" t="n">
        <v>828024</v>
      </c>
      <c r="B696" t="inlineStr">
        <is>
          <t>18-05-2026</t>
        </is>
      </c>
      <c r="C696" t="inlineStr">
        <is>
          <t>MG5</t>
        </is>
      </c>
      <c r="D696" t="inlineStr">
        <is>
          <t>GRAPPLE</t>
        </is>
      </c>
      <c r="E696" t="inlineStr">
        <is>
          <t>CE-27 ESPINALILLO YBAR</t>
        </is>
      </c>
      <c r="F696" t="inlineStr">
        <is>
          <t>PIRA</t>
        </is>
      </c>
      <c r="G696" t="n">
        <v>720</v>
      </c>
      <c r="H696" t="n">
        <v>0</v>
      </c>
      <c r="I696" t="n">
        <v>11</v>
      </c>
      <c r="J696" t="n">
        <v>98</v>
      </c>
      <c r="K696" t="n">
        <v>0</v>
      </c>
      <c r="L696" t="n">
        <v>126.72</v>
      </c>
      <c r="M696" t="n">
        <v>0</v>
      </c>
      <c r="N696" t="n">
        <v>0</v>
      </c>
      <c r="O696" t="n">
        <v>100</v>
      </c>
      <c r="P696" t="n">
        <v>11.52</v>
      </c>
    </row>
    <row r="697">
      <c r="A697" t="n">
        <v>828024</v>
      </c>
      <c r="B697" t="inlineStr">
        <is>
          <t>18-05-2026</t>
        </is>
      </c>
      <c r="C697" t="inlineStr">
        <is>
          <t>MG5</t>
        </is>
      </c>
      <c r="D697" t="inlineStr">
        <is>
          <t>GRAPPLE</t>
        </is>
      </c>
      <c r="E697" t="inlineStr">
        <is>
          <t>CE-27 ESPINALILLO YBAR</t>
        </is>
      </c>
      <c r="F697" t="inlineStr">
        <is>
          <t>PIRA</t>
        </is>
      </c>
      <c r="G697" t="n">
        <v>720</v>
      </c>
      <c r="H697" t="n">
        <v>0</v>
      </c>
      <c r="I697" t="n">
        <v>11</v>
      </c>
      <c r="J697" t="n">
        <v>98</v>
      </c>
      <c r="K697" t="n">
        <v>0</v>
      </c>
      <c r="L697" t="n">
        <v>183.12</v>
      </c>
      <c r="M697" t="n">
        <v>0</v>
      </c>
      <c r="N697" t="n">
        <v>0</v>
      </c>
      <c r="O697" t="n">
        <v>100</v>
      </c>
      <c r="P697" t="n">
        <v>16.65</v>
      </c>
    </row>
    <row r="698">
      <c r="A698" t="n">
        <v>828032</v>
      </c>
      <c r="B698" t="inlineStr">
        <is>
          <t>18-05-2026</t>
        </is>
      </c>
      <c r="C698" t="inlineStr">
        <is>
          <t>T125</t>
        </is>
      </c>
      <c r="D698" t="inlineStr">
        <is>
          <t>TORRE500</t>
        </is>
      </c>
      <c r="E698" t="inlineStr">
        <is>
          <t>POLHUIN</t>
        </is>
      </c>
      <c r="F698" t="inlineStr">
        <is>
          <t>EUGL</t>
        </is>
      </c>
      <c r="G698" t="n">
        <v>720</v>
      </c>
      <c r="H698" t="n">
        <v>0</v>
      </c>
      <c r="I698" t="n">
        <v>2</v>
      </c>
      <c r="J698" t="n">
        <v>15</v>
      </c>
      <c r="K698" t="n">
        <v>0</v>
      </c>
      <c r="L698" t="n">
        <v>16.79</v>
      </c>
      <c r="M698" t="n">
        <v>540</v>
      </c>
      <c r="N698" t="n">
        <v>540</v>
      </c>
      <c r="O698" t="n">
        <v>98.8</v>
      </c>
      <c r="P698" t="n">
        <v>8.390000000000001</v>
      </c>
    </row>
    <row r="699">
      <c r="A699" t="n">
        <v>828032</v>
      </c>
      <c r="B699" t="inlineStr">
        <is>
          <t>18-05-2026</t>
        </is>
      </c>
      <c r="C699" t="inlineStr">
        <is>
          <t>T125</t>
        </is>
      </c>
      <c r="D699" t="inlineStr">
        <is>
          <t>TORRE500</t>
        </is>
      </c>
      <c r="E699" t="inlineStr">
        <is>
          <t>POLHUIN</t>
        </is>
      </c>
      <c r="F699" t="inlineStr">
        <is>
          <t>EUGL</t>
        </is>
      </c>
      <c r="G699" t="n">
        <v>720</v>
      </c>
      <c r="H699" t="n">
        <v>0</v>
      </c>
      <c r="I699" t="n">
        <v>2</v>
      </c>
      <c r="J699" t="n">
        <v>15</v>
      </c>
      <c r="K699" t="n">
        <v>0</v>
      </c>
      <c r="L699" t="n">
        <v>18.1</v>
      </c>
      <c r="M699" t="n">
        <v>540</v>
      </c>
      <c r="N699" t="n">
        <v>540</v>
      </c>
      <c r="O699" t="n">
        <v>98.8</v>
      </c>
      <c r="P699" t="n">
        <v>9.050000000000001</v>
      </c>
    </row>
    <row r="700">
      <c r="A700" t="n">
        <v>828053</v>
      </c>
      <c r="B700" t="inlineStr">
        <is>
          <t>18-05-2026</t>
        </is>
      </c>
      <c r="C700" t="inlineStr">
        <is>
          <t>S246</t>
        </is>
      </c>
      <c r="D700" t="inlineStr">
        <is>
          <t>SKIDDER</t>
        </is>
      </c>
      <c r="E700" t="inlineStr">
        <is>
          <t>LAS MERCEDES C13</t>
        </is>
      </c>
      <c r="F700" t="inlineStr">
        <is>
          <t>PIRA</t>
        </is>
      </c>
      <c r="G700" t="n">
        <v>720</v>
      </c>
      <c r="H700" t="n">
        <v>0</v>
      </c>
      <c r="I700" t="n">
        <v>10</v>
      </c>
      <c r="J700" t="n">
        <v>48</v>
      </c>
      <c r="K700" t="n">
        <v>0</v>
      </c>
      <c r="L700" t="n">
        <v>111.6</v>
      </c>
      <c r="M700" t="n">
        <v>60</v>
      </c>
      <c r="N700" t="n">
        <v>60</v>
      </c>
      <c r="O700" t="n">
        <v>99.90000000000001</v>
      </c>
      <c r="P700" t="n">
        <v>11.16</v>
      </c>
    </row>
    <row r="701">
      <c r="A701" t="n">
        <v>828053</v>
      </c>
      <c r="B701" t="inlineStr">
        <is>
          <t>18-05-2026</t>
        </is>
      </c>
      <c r="C701" t="inlineStr">
        <is>
          <t>S246</t>
        </is>
      </c>
      <c r="D701" t="inlineStr">
        <is>
          <t>SKIDDER</t>
        </is>
      </c>
      <c r="E701" t="inlineStr">
        <is>
          <t>LAS MERCEDES C13</t>
        </is>
      </c>
      <c r="F701" t="inlineStr">
        <is>
          <t>PIRA</t>
        </is>
      </c>
      <c r="G701" t="n">
        <v>720</v>
      </c>
      <c r="H701" t="n">
        <v>0</v>
      </c>
      <c r="I701" t="n">
        <v>10</v>
      </c>
      <c r="J701" t="n">
        <v>48</v>
      </c>
      <c r="K701" t="n">
        <v>0</v>
      </c>
      <c r="L701" t="n">
        <v>37.05</v>
      </c>
      <c r="M701" t="n">
        <v>60</v>
      </c>
      <c r="N701" t="n">
        <v>60</v>
      </c>
      <c r="O701" t="n">
        <v>99.90000000000001</v>
      </c>
      <c r="P701" t="n">
        <v>3.7</v>
      </c>
    </row>
    <row r="702">
      <c r="A702" t="n">
        <v>828065</v>
      </c>
      <c r="B702" t="inlineStr">
        <is>
          <t>18-05-2026</t>
        </is>
      </c>
      <c r="C702" t="inlineStr">
        <is>
          <t>TEA02</t>
        </is>
      </c>
      <c r="D702" t="inlineStr">
        <is>
          <t>FORWINCH</t>
        </is>
      </c>
      <c r="E702" t="inlineStr">
        <is>
          <t>LOMA DE LA VACA</t>
        </is>
      </c>
      <c r="F702" t="inlineStr">
        <is>
          <t>PIRA</t>
        </is>
      </c>
      <c r="G702" t="n">
        <v>720</v>
      </c>
      <c r="H702" t="n">
        <v>0</v>
      </c>
      <c r="I702" t="n">
        <v>10.5</v>
      </c>
      <c r="J702" t="n">
        <v>23</v>
      </c>
      <c r="K702" t="n">
        <v>0</v>
      </c>
      <c r="L702" t="n">
        <v>161.2</v>
      </c>
      <c r="M702" t="n">
        <v>0</v>
      </c>
      <c r="N702" t="n">
        <v>30</v>
      </c>
      <c r="O702" t="n">
        <v>100</v>
      </c>
      <c r="P702" t="n">
        <v>15.35</v>
      </c>
    </row>
    <row r="703">
      <c r="A703" t="n">
        <v>828065</v>
      </c>
      <c r="B703" t="inlineStr">
        <is>
          <t>18-05-2026</t>
        </is>
      </c>
      <c r="C703" t="inlineStr">
        <is>
          <t>TEA02</t>
        </is>
      </c>
      <c r="D703" t="inlineStr">
        <is>
          <t>FORWINCH</t>
        </is>
      </c>
      <c r="E703" t="inlineStr">
        <is>
          <t>LOMA DE LA VACA</t>
        </is>
      </c>
      <c r="F703" t="inlineStr">
        <is>
          <t>PIRA</t>
        </is>
      </c>
      <c r="G703" t="n">
        <v>720</v>
      </c>
      <c r="H703" t="n">
        <v>0</v>
      </c>
      <c r="I703" t="n">
        <v>10.5</v>
      </c>
      <c r="J703" t="n">
        <v>23</v>
      </c>
      <c r="K703" t="n">
        <v>0</v>
      </c>
      <c r="L703" t="n">
        <v>80.45999999999999</v>
      </c>
      <c r="M703" t="n">
        <v>0</v>
      </c>
      <c r="N703" t="n">
        <v>30</v>
      </c>
      <c r="O703" t="n">
        <v>100</v>
      </c>
      <c r="P703" t="n">
        <v>7.66</v>
      </c>
    </row>
    <row r="704">
      <c r="A704" t="n">
        <v>828081</v>
      </c>
      <c r="B704" t="inlineStr">
        <is>
          <t>18-05-2026</t>
        </is>
      </c>
      <c r="C704" t="inlineStr">
        <is>
          <t>TEA08</t>
        </is>
      </c>
      <c r="D704" t="inlineStr">
        <is>
          <t>FORWINCH</t>
        </is>
      </c>
      <c r="E704" t="inlineStr">
        <is>
          <t>COIHUECO Y OTROS (BB)</t>
        </is>
      </c>
      <c r="F704" t="inlineStr">
        <is>
          <t>PIRA</t>
        </is>
      </c>
      <c r="G704" t="n">
        <v>720</v>
      </c>
      <c r="H704" t="n">
        <v>0</v>
      </c>
      <c r="I704" t="n">
        <v>8</v>
      </c>
      <c r="J704" t="n">
        <v>58</v>
      </c>
      <c r="K704" t="n">
        <v>0</v>
      </c>
      <c r="L704" t="n">
        <v>16.6</v>
      </c>
      <c r="M704" t="n">
        <v>120</v>
      </c>
      <c r="N704" t="n">
        <v>180</v>
      </c>
      <c r="O704" t="n">
        <v>99.7</v>
      </c>
      <c r="P704" t="n">
        <v>2.08</v>
      </c>
    </row>
    <row r="705">
      <c r="A705" t="n">
        <v>828081</v>
      </c>
      <c r="B705" t="inlineStr">
        <is>
          <t>18-05-2026</t>
        </is>
      </c>
      <c r="C705" t="inlineStr">
        <is>
          <t>TEA08</t>
        </is>
      </c>
      <c r="D705" t="inlineStr">
        <is>
          <t>FORWINCH</t>
        </is>
      </c>
      <c r="E705" t="inlineStr">
        <is>
          <t>COIHUECO Y OTROS (BB)</t>
        </is>
      </c>
      <c r="F705" t="inlineStr">
        <is>
          <t>PIRA</t>
        </is>
      </c>
      <c r="G705" t="n">
        <v>720</v>
      </c>
      <c r="H705" t="n">
        <v>0</v>
      </c>
      <c r="I705" t="n">
        <v>8</v>
      </c>
      <c r="J705" t="n">
        <v>58</v>
      </c>
      <c r="K705" t="n">
        <v>0</v>
      </c>
      <c r="L705" t="n">
        <v>83.17</v>
      </c>
      <c r="M705" t="n">
        <v>120</v>
      </c>
      <c r="N705" t="n">
        <v>180</v>
      </c>
      <c r="O705" t="n">
        <v>99.7</v>
      </c>
      <c r="P705" t="n">
        <v>10.4</v>
      </c>
    </row>
    <row r="706">
      <c r="A706" t="n">
        <v>828081</v>
      </c>
      <c r="B706" t="inlineStr">
        <is>
          <t>18-05-2026</t>
        </is>
      </c>
      <c r="C706" t="inlineStr">
        <is>
          <t>TEA08</t>
        </is>
      </c>
      <c r="D706" t="inlineStr">
        <is>
          <t>FORWINCH</t>
        </is>
      </c>
      <c r="E706" t="inlineStr">
        <is>
          <t>COIHUECO Y OTROS (BB)</t>
        </is>
      </c>
      <c r="F706" t="inlineStr">
        <is>
          <t>PIRA</t>
        </is>
      </c>
      <c r="G706" t="n">
        <v>720</v>
      </c>
      <c r="H706" t="n">
        <v>0</v>
      </c>
      <c r="I706" t="n">
        <v>8</v>
      </c>
      <c r="J706" t="n">
        <v>58</v>
      </c>
      <c r="K706" t="n">
        <v>0</v>
      </c>
      <c r="L706" t="n">
        <v>78.42</v>
      </c>
      <c r="M706" t="n">
        <v>120</v>
      </c>
      <c r="N706" t="n">
        <v>180</v>
      </c>
      <c r="O706" t="n">
        <v>99.7</v>
      </c>
      <c r="P706" t="n">
        <v>9.800000000000001</v>
      </c>
    </row>
    <row r="707">
      <c r="A707" t="n">
        <v>828081</v>
      </c>
      <c r="B707" t="inlineStr">
        <is>
          <t>18-05-2026</t>
        </is>
      </c>
      <c r="C707" t="inlineStr">
        <is>
          <t>TEA08</t>
        </is>
      </c>
      <c r="D707" t="inlineStr">
        <is>
          <t>FORWINCH</t>
        </is>
      </c>
      <c r="E707" t="inlineStr">
        <is>
          <t>COIHUECO Y OTROS (BB)</t>
        </is>
      </c>
      <c r="F707" t="inlineStr">
        <is>
          <t>PIRA</t>
        </is>
      </c>
      <c r="G707" t="n">
        <v>720</v>
      </c>
      <c r="H707" t="n">
        <v>0</v>
      </c>
      <c r="I707" t="n">
        <v>8</v>
      </c>
      <c r="J707" t="n">
        <v>58</v>
      </c>
      <c r="K707" t="n">
        <v>0</v>
      </c>
      <c r="L707" t="n">
        <v>102.41</v>
      </c>
      <c r="M707" t="n">
        <v>120</v>
      </c>
      <c r="N707" t="n">
        <v>180</v>
      </c>
      <c r="O707" t="n">
        <v>99.7</v>
      </c>
      <c r="P707" t="n">
        <v>12.8</v>
      </c>
    </row>
    <row r="708">
      <c r="A708" t="n">
        <v>828097</v>
      </c>
      <c r="B708" t="inlineStr">
        <is>
          <t>18-05-2026</t>
        </is>
      </c>
      <c r="C708" t="inlineStr">
        <is>
          <t>S58</t>
        </is>
      </c>
      <c r="D708" t="inlineStr">
        <is>
          <t>SKIDDER</t>
        </is>
      </c>
      <c r="E708" t="inlineStr">
        <is>
          <t>COIHUECO Y OTROS (BB)</t>
        </is>
      </c>
      <c r="F708" t="inlineStr">
        <is>
          <t>PIRA</t>
        </is>
      </c>
      <c r="G708" t="n">
        <v>600</v>
      </c>
      <c r="H708" t="n">
        <v>0</v>
      </c>
      <c r="I708" t="n">
        <v>7</v>
      </c>
      <c r="J708" t="n">
        <v>25</v>
      </c>
      <c r="K708" t="n">
        <v>0</v>
      </c>
      <c r="L708" t="n">
        <v>2.78</v>
      </c>
      <c r="M708" t="n">
        <v>0</v>
      </c>
      <c r="N708" t="n">
        <v>120</v>
      </c>
      <c r="O708" t="n">
        <v>100</v>
      </c>
      <c r="P708" t="n">
        <v>0.4</v>
      </c>
    </row>
    <row r="709">
      <c r="A709" t="n">
        <v>828097</v>
      </c>
      <c r="B709" t="inlineStr">
        <is>
          <t>18-05-2026</t>
        </is>
      </c>
      <c r="C709" t="inlineStr">
        <is>
          <t>S58</t>
        </is>
      </c>
      <c r="D709" t="inlineStr">
        <is>
          <t>SKIDDER</t>
        </is>
      </c>
      <c r="E709" t="inlineStr">
        <is>
          <t>COIHUECO Y OTROS (BB)</t>
        </is>
      </c>
      <c r="F709" t="inlineStr">
        <is>
          <t>PIRA</t>
        </is>
      </c>
      <c r="G709" t="n">
        <v>600</v>
      </c>
      <c r="H709" t="n">
        <v>0</v>
      </c>
      <c r="I709" t="n">
        <v>7</v>
      </c>
      <c r="J709" t="n">
        <v>25</v>
      </c>
      <c r="K709" t="n">
        <v>0</v>
      </c>
      <c r="L709" t="n">
        <v>5.85</v>
      </c>
      <c r="M709" t="n">
        <v>0</v>
      </c>
      <c r="N709" t="n">
        <v>120</v>
      </c>
      <c r="O709" t="n">
        <v>100</v>
      </c>
      <c r="P709" t="n">
        <v>0.84</v>
      </c>
    </row>
    <row r="710">
      <c r="A710" t="n">
        <v>828097</v>
      </c>
      <c r="B710" t="inlineStr">
        <is>
          <t>18-05-2026</t>
        </is>
      </c>
      <c r="C710" t="inlineStr">
        <is>
          <t>S58</t>
        </is>
      </c>
      <c r="D710" t="inlineStr">
        <is>
          <t>SKIDDER</t>
        </is>
      </c>
      <c r="E710" t="inlineStr">
        <is>
          <t>COIHUECO Y OTROS (BB)</t>
        </is>
      </c>
      <c r="F710" t="inlineStr">
        <is>
          <t>PIRA</t>
        </is>
      </c>
      <c r="G710" t="n">
        <v>600</v>
      </c>
      <c r="H710" t="n">
        <v>0</v>
      </c>
      <c r="I710" t="n">
        <v>7</v>
      </c>
      <c r="J710" t="n">
        <v>25</v>
      </c>
      <c r="K710" t="n">
        <v>0</v>
      </c>
      <c r="L710" t="n">
        <v>4.88</v>
      </c>
      <c r="M710" t="n">
        <v>0</v>
      </c>
      <c r="N710" t="n">
        <v>120</v>
      </c>
      <c r="O710" t="n">
        <v>100</v>
      </c>
      <c r="P710" t="n">
        <v>0.7</v>
      </c>
    </row>
    <row r="711">
      <c r="A711" t="n">
        <v>828097</v>
      </c>
      <c r="B711" t="inlineStr">
        <is>
          <t>18-05-2026</t>
        </is>
      </c>
      <c r="C711" t="inlineStr">
        <is>
          <t>S58</t>
        </is>
      </c>
      <c r="D711" t="inlineStr">
        <is>
          <t>SKIDDER</t>
        </is>
      </c>
      <c r="E711" t="inlineStr">
        <is>
          <t>COIHUECO Y OTROS (BB)</t>
        </is>
      </c>
      <c r="F711" t="inlineStr">
        <is>
          <t>PIRA</t>
        </is>
      </c>
      <c r="G711" t="n">
        <v>600</v>
      </c>
      <c r="H711" t="n">
        <v>0</v>
      </c>
      <c r="I711" t="n">
        <v>7</v>
      </c>
      <c r="J711" t="n">
        <v>25</v>
      </c>
      <c r="K711" t="n">
        <v>0</v>
      </c>
      <c r="L711" t="n">
        <v>27.47</v>
      </c>
      <c r="M711" t="n">
        <v>0</v>
      </c>
      <c r="N711" t="n">
        <v>120</v>
      </c>
      <c r="O711" t="n">
        <v>100</v>
      </c>
      <c r="P711" t="n">
        <v>3.92</v>
      </c>
    </row>
    <row r="712">
      <c r="A712" t="n">
        <v>828097</v>
      </c>
      <c r="B712" t="inlineStr">
        <is>
          <t>18-05-2026</t>
        </is>
      </c>
      <c r="C712" t="inlineStr">
        <is>
          <t>S58</t>
        </is>
      </c>
      <c r="D712" t="inlineStr">
        <is>
          <t>SKIDDER</t>
        </is>
      </c>
      <c r="E712" t="inlineStr">
        <is>
          <t>COIHUECO Y OTROS (BB)</t>
        </is>
      </c>
      <c r="F712" t="inlineStr">
        <is>
          <t>PIRA</t>
        </is>
      </c>
      <c r="G712" t="n">
        <v>600</v>
      </c>
      <c r="H712" t="n">
        <v>0</v>
      </c>
      <c r="I712" t="n">
        <v>7</v>
      </c>
      <c r="J712" t="n">
        <v>25</v>
      </c>
      <c r="K712" t="n">
        <v>0</v>
      </c>
      <c r="L712" t="n">
        <v>9.82</v>
      </c>
      <c r="M712" t="n">
        <v>0</v>
      </c>
      <c r="N712" t="n">
        <v>120</v>
      </c>
      <c r="O712" t="n">
        <v>100</v>
      </c>
      <c r="P712" t="n">
        <v>1.4</v>
      </c>
    </row>
    <row r="713">
      <c r="A713" t="n">
        <v>828097</v>
      </c>
      <c r="B713" t="inlineStr">
        <is>
          <t>18-05-2026</t>
        </is>
      </c>
      <c r="C713" t="inlineStr">
        <is>
          <t>S58</t>
        </is>
      </c>
      <c r="D713" t="inlineStr">
        <is>
          <t>SKIDDER</t>
        </is>
      </c>
      <c r="E713" t="inlineStr">
        <is>
          <t>COIHUECO Y OTROS (BB)</t>
        </is>
      </c>
      <c r="F713" t="inlineStr">
        <is>
          <t>PIRA</t>
        </is>
      </c>
      <c r="G713" t="n">
        <v>600</v>
      </c>
      <c r="H713" t="n">
        <v>0</v>
      </c>
      <c r="I713" t="n">
        <v>7</v>
      </c>
      <c r="J713" t="n">
        <v>25</v>
      </c>
      <c r="K713" t="n">
        <v>0</v>
      </c>
      <c r="L713" t="n">
        <v>13.3</v>
      </c>
      <c r="M713" t="n">
        <v>0</v>
      </c>
      <c r="N713" t="n">
        <v>120</v>
      </c>
      <c r="O713" t="n">
        <v>100</v>
      </c>
      <c r="P713" t="n">
        <v>1.9</v>
      </c>
    </row>
    <row r="714">
      <c r="A714" t="n">
        <v>828097</v>
      </c>
      <c r="B714" t="inlineStr">
        <is>
          <t>18-05-2026</t>
        </is>
      </c>
      <c r="C714" t="inlineStr">
        <is>
          <t>S58</t>
        </is>
      </c>
      <c r="D714" t="inlineStr">
        <is>
          <t>SKIDDER</t>
        </is>
      </c>
      <c r="E714" t="inlineStr">
        <is>
          <t>COIHUECO Y OTROS (BB)</t>
        </is>
      </c>
      <c r="F714" t="inlineStr">
        <is>
          <t>PIRA</t>
        </is>
      </c>
      <c r="G714" t="n">
        <v>600</v>
      </c>
      <c r="H714" t="n">
        <v>0</v>
      </c>
      <c r="I714" t="n">
        <v>7</v>
      </c>
      <c r="J714" t="n">
        <v>25</v>
      </c>
      <c r="K714" t="n">
        <v>0</v>
      </c>
      <c r="L714" t="n">
        <v>44.84</v>
      </c>
      <c r="M714" t="n">
        <v>0</v>
      </c>
      <c r="N714" t="n">
        <v>120</v>
      </c>
      <c r="O714" t="n">
        <v>100</v>
      </c>
      <c r="P714" t="n">
        <v>6.41</v>
      </c>
    </row>
    <row r="715">
      <c r="A715" t="n">
        <v>828100</v>
      </c>
      <c r="B715" t="inlineStr">
        <is>
          <t>18-05-2026</t>
        </is>
      </c>
      <c r="C715" t="inlineStr">
        <is>
          <t>S58</t>
        </is>
      </c>
      <c r="D715" t="inlineStr">
        <is>
          <t>SKIDDER</t>
        </is>
      </c>
      <c r="E715" t="inlineStr">
        <is>
          <t>COIHUECO Y OTROS (BB)</t>
        </is>
      </c>
      <c r="F715" t="inlineStr">
        <is>
          <t>PIRA</t>
        </is>
      </c>
      <c r="G715" t="n">
        <v>120</v>
      </c>
      <c r="H715" t="n">
        <v>0</v>
      </c>
      <c r="I715" t="n">
        <v>2</v>
      </c>
      <c r="J715" t="n">
        <v>11</v>
      </c>
      <c r="K715" t="n">
        <v>0</v>
      </c>
      <c r="L715" t="n">
        <v>29.14</v>
      </c>
      <c r="M715" t="n">
        <v>0</v>
      </c>
      <c r="N715" t="n">
        <v>0</v>
      </c>
      <c r="O715" t="n">
        <v>100</v>
      </c>
      <c r="P715" t="n">
        <v>14.57</v>
      </c>
    </row>
    <row r="716">
      <c r="A716" t="n">
        <v>828114</v>
      </c>
      <c r="B716" t="inlineStr">
        <is>
          <t>18-05-2026</t>
        </is>
      </c>
      <c r="C716" t="inlineStr">
        <is>
          <t>S223</t>
        </is>
      </c>
      <c r="D716" t="inlineStr">
        <is>
          <t>SKIDDER</t>
        </is>
      </c>
      <c r="E716" t="inlineStr">
        <is>
          <t>LAS ULLOAS (BB)</t>
        </is>
      </c>
      <c r="F716" t="inlineStr">
        <is>
          <t>PIRA</t>
        </is>
      </c>
      <c r="G716" t="n">
        <v>720</v>
      </c>
      <c r="H716" t="n">
        <v>0</v>
      </c>
      <c r="I716" t="n">
        <v>9</v>
      </c>
      <c r="J716" t="n">
        <v>36</v>
      </c>
      <c r="K716" t="n">
        <v>0</v>
      </c>
      <c r="L716" t="n">
        <v>14.98</v>
      </c>
      <c r="M716" t="n">
        <v>120</v>
      </c>
      <c r="N716" t="n">
        <v>120</v>
      </c>
      <c r="O716" t="n">
        <v>99.7</v>
      </c>
      <c r="P716" t="n">
        <v>1.66</v>
      </c>
    </row>
    <row r="717">
      <c r="A717" t="n">
        <v>828114</v>
      </c>
      <c r="B717" t="inlineStr">
        <is>
          <t>18-05-2026</t>
        </is>
      </c>
      <c r="C717" t="inlineStr">
        <is>
          <t>S223</t>
        </is>
      </c>
      <c r="D717" t="inlineStr">
        <is>
          <t>SKIDDER</t>
        </is>
      </c>
      <c r="E717" t="inlineStr">
        <is>
          <t>LAS ULLOAS (BB)</t>
        </is>
      </c>
      <c r="F717" t="inlineStr">
        <is>
          <t>PIRA</t>
        </is>
      </c>
      <c r="G717" t="n">
        <v>720</v>
      </c>
      <c r="H717" t="n">
        <v>0</v>
      </c>
      <c r="I717" t="n">
        <v>9</v>
      </c>
      <c r="J717" t="n">
        <v>36</v>
      </c>
      <c r="K717" t="n">
        <v>0</v>
      </c>
      <c r="L717" t="n">
        <v>53.14</v>
      </c>
      <c r="M717" t="n">
        <v>120</v>
      </c>
      <c r="N717" t="n">
        <v>120</v>
      </c>
      <c r="O717" t="n">
        <v>99.7</v>
      </c>
      <c r="P717" t="n">
        <v>5.9</v>
      </c>
    </row>
    <row r="718">
      <c r="A718" t="n">
        <v>828114</v>
      </c>
      <c r="B718" t="inlineStr">
        <is>
          <t>18-05-2026</t>
        </is>
      </c>
      <c r="C718" t="inlineStr">
        <is>
          <t>S223</t>
        </is>
      </c>
      <c r="D718" t="inlineStr">
        <is>
          <t>SKIDDER</t>
        </is>
      </c>
      <c r="E718" t="inlineStr">
        <is>
          <t>LAS ULLOAS (BB)</t>
        </is>
      </c>
      <c r="F718" t="inlineStr">
        <is>
          <t>PIRA</t>
        </is>
      </c>
      <c r="G718" t="n">
        <v>720</v>
      </c>
      <c r="H718" t="n">
        <v>0</v>
      </c>
      <c r="I718" t="n">
        <v>9</v>
      </c>
      <c r="J718" t="n">
        <v>36</v>
      </c>
      <c r="K718" t="n">
        <v>0</v>
      </c>
      <c r="L718" t="n">
        <v>31.16</v>
      </c>
      <c r="M718" t="n">
        <v>120</v>
      </c>
      <c r="N718" t="n">
        <v>120</v>
      </c>
      <c r="O718" t="n">
        <v>99.7</v>
      </c>
      <c r="P718" t="n">
        <v>3.46</v>
      </c>
    </row>
    <row r="719">
      <c r="A719" t="n">
        <v>828114</v>
      </c>
      <c r="B719" t="inlineStr">
        <is>
          <t>18-05-2026</t>
        </is>
      </c>
      <c r="C719" t="inlineStr">
        <is>
          <t>S223</t>
        </is>
      </c>
      <c r="D719" t="inlineStr">
        <is>
          <t>SKIDDER</t>
        </is>
      </c>
      <c r="E719" t="inlineStr">
        <is>
          <t>LAS ULLOAS (BB)</t>
        </is>
      </c>
      <c r="F719" t="inlineStr">
        <is>
          <t>PIRA</t>
        </is>
      </c>
      <c r="G719" t="n">
        <v>720</v>
      </c>
      <c r="H719" t="n">
        <v>0</v>
      </c>
      <c r="I719" t="n">
        <v>9</v>
      </c>
      <c r="J719" t="n">
        <v>36</v>
      </c>
      <c r="K719" t="n">
        <v>0</v>
      </c>
      <c r="L719" t="n">
        <v>104.4</v>
      </c>
      <c r="M719" t="n">
        <v>120</v>
      </c>
      <c r="N719" t="n">
        <v>120</v>
      </c>
      <c r="O719" t="n">
        <v>99.7</v>
      </c>
      <c r="P719" t="n">
        <v>11.6</v>
      </c>
    </row>
    <row r="720">
      <c r="A720" t="n">
        <v>828152</v>
      </c>
      <c r="B720" t="inlineStr">
        <is>
          <t>19-05-2026</t>
        </is>
      </c>
      <c r="C720" t="inlineStr">
        <is>
          <t>S58</t>
        </is>
      </c>
      <c r="D720" t="inlineStr">
        <is>
          <t>SKIDDER</t>
        </is>
      </c>
      <c r="E720" t="inlineStr">
        <is>
          <t>COIHUECO Y OTROS (BB)</t>
        </is>
      </c>
      <c r="F720" t="inlineStr">
        <is>
          <t>PIRA</t>
        </is>
      </c>
      <c r="G720" t="n">
        <v>480</v>
      </c>
      <c r="H720" t="n">
        <v>0</v>
      </c>
      <c r="I720" t="n">
        <v>2</v>
      </c>
      <c r="J720" t="n">
        <v>21</v>
      </c>
      <c r="K720" t="n">
        <v>0</v>
      </c>
      <c r="L720" t="n">
        <v>4.63</v>
      </c>
      <c r="M720" t="n">
        <v>0</v>
      </c>
      <c r="N720" t="n">
        <v>300</v>
      </c>
      <c r="O720" t="n">
        <v>100</v>
      </c>
      <c r="P720" t="n">
        <v>2.31</v>
      </c>
    </row>
    <row r="721">
      <c r="A721" t="n">
        <v>828152</v>
      </c>
      <c r="B721" t="inlineStr">
        <is>
          <t>19-05-2026</t>
        </is>
      </c>
      <c r="C721" t="inlineStr">
        <is>
          <t>S58</t>
        </is>
      </c>
      <c r="D721" t="inlineStr">
        <is>
          <t>SKIDDER</t>
        </is>
      </c>
      <c r="E721" t="inlineStr">
        <is>
          <t>COIHUECO Y OTROS (BB)</t>
        </is>
      </c>
      <c r="F721" t="inlineStr">
        <is>
          <t>PIRA</t>
        </is>
      </c>
      <c r="G721" t="n">
        <v>480</v>
      </c>
      <c r="H721" t="n">
        <v>0</v>
      </c>
      <c r="I721" t="n">
        <v>2</v>
      </c>
      <c r="J721" t="n">
        <v>21</v>
      </c>
      <c r="K721" t="n">
        <v>0</v>
      </c>
      <c r="L721" t="n">
        <v>3.13</v>
      </c>
      <c r="M721" t="n">
        <v>0</v>
      </c>
      <c r="N721" t="n">
        <v>300</v>
      </c>
      <c r="O721" t="n">
        <v>100</v>
      </c>
      <c r="P721" t="n">
        <v>1.57</v>
      </c>
    </row>
    <row r="722">
      <c r="A722" t="n">
        <v>828152</v>
      </c>
      <c r="B722" t="inlineStr">
        <is>
          <t>19-05-2026</t>
        </is>
      </c>
      <c r="C722" t="inlineStr">
        <is>
          <t>S58</t>
        </is>
      </c>
      <c r="D722" t="inlineStr">
        <is>
          <t>SKIDDER</t>
        </is>
      </c>
      <c r="E722" t="inlineStr">
        <is>
          <t>COIHUECO Y OTROS (BB)</t>
        </is>
      </c>
      <c r="F722" t="inlineStr">
        <is>
          <t>PIRA</t>
        </is>
      </c>
      <c r="G722" t="n">
        <v>480</v>
      </c>
      <c r="H722" t="n">
        <v>0</v>
      </c>
      <c r="I722" t="n">
        <v>2</v>
      </c>
      <c r="J722" t="n">
        <v>21</v>
      </c>
      <c r="K722" t="n">
        <v>0</v>
      </c>
      <c r="L722" t="n">
        <v>4.22</v>
      </c>
      <c r="M722" t="n">
        <v>0</v>
      </c>
      <c r="N722" t="n">
        <v>300</v>
      </c>
      <c r="O722" t="n">
        <v>100</v>
      </c>
      <c r="P722" t="n">
        <v>2.11</v>
      </c>
    </row>
    <row r="723">
      <c r="A723" t="n">
        <v>828152</v>
      </c>
      <c r="B723" t="inlineStr">
        <is>
          <t>19-05-2026</t>
        </is>
      </c>
      <c r="C723" t="inlineStr">
        <is>
          <t>S58</t>
        </is>
      </c>
      <c r="D723" t="inlineStr">
        <is>
          <t>SKIDDER</t>
        </is>
      </c>
      <c r="E723" t="inlineStr">
        <is>
          <t>COIHUECO Y OTROS (BB)</t>
        </is>
      </c>
      <c r="F723" t="inlineStr">
        <is>
          <t>PIRA</t>
        </is>
      </c>
      <c r="G723" t="n">
        <v>480</v>
      </c>
      <c r="H723" t="n">
        <v>0</v>
      </c>
      <c r="I723" t="n">
        <v>2</v>
      </c>
      <c r="J723" t="n">
        <v>21</v>
      </c>
      <c r="K723" t="n">
        <v>0</v>
      </c>
      <c r="L723" t="n">
        <v>0.65</v>
      </c>
      <c r="M723" t="n">
        <v>0</v>
      </c>
      <c r="N723" t="n">
        <v>300</v>
      </c>
      <c r="O723" t="n">
        <v>100</v>
      </c>
      <c r="P723" t="n">
        <v>0.32</v>
      </c>
    </row>
    <row r="724">
      <c r="A724" t="n">
        <v>828152</v>
      </c>
      <c r="B724" t="inlineStr">
        <is>
          <t>19-05-2026</t>
        </is>
      </c>
      <c r="C724" t="inlineStr">
        <is>
          <t>S58</t>
        </is>
      </c>
      <c r="D724" t="inlineStr">
        <is>
          <t>SKIDDER</t>
        </is>
      </c>
      <c r="E724" t="inlineStr">
        <is>
          <t>COIHUECO Y OTROS (BB)</t>
        </is>
      </c>
      <c r="F724" t="inlineStr">
        <is>
          <t>PIRA</t>
        </is>
      </c>
      <c r="G724" t="n">
        <v>480</v>
      </c>
      <c r="H724" t="n">
        <v>0</v>
      </c>
      <c r="I724" t="n">
        <v>2</v>
      </c>
      <c r="J724" t="n">
        <v>21</v>
      </c>
      <c r="K724" t="n">
        <v>0</v>
      </c>
      <c r="L724" t="n">
        <v>6.67</v>
      </c>
      <c r="M724" t="n">
        <v>0</v>
      </c>
      <c r="N724" t="n">
        <v>300</v>
      </c>
      <c r="O724" t="n">
        <v>100</v>
      </c>
      <c r="P724" t="n">
        <v>3.33</v>
      </c>
    </row>
    <row r="725">
      <c r="A725" t="n">
        <v>828152</v>
      </c>
      <c r="B725" t="inlineStr">
        <is>
          <t>19-05-2026</t>
        </is>
      </c>
      <c r="C725" t="inlineStr">
        <is>
          <t>S58</t>
        </is>
      </c>
      <c r="D725" t="inlineStr">
        <is>
          <t>SKIDDER</t>
        </is>
      </c>
      <c r="E725" t="inlineStr">
        <is>
          <t>COIHUECO Y OTROS (BB)</t>
        </is>
      </c>
      <c r="F725" t="inlineStr">
        <is>
          <t>PIRA</t>
        </is>
      </c>
      <c r="G725" t="n">
        <v>480</v>
      </c>
      <c r="H725" t="n">
        <v>0</v>
      </c>
      <c r="I725" t="n">
        <v>2</v>
      </c>
      <c r="J725" t="n">
        <v>21</v>
      </c>
      <c r="K725" t="n">
        <v>0</v>
      </c>
      <c r="L725" t="n">
        <v>11.79</v>
      </c>
      <c r="M725" t="n">
        <v>0</v>
      </c>
      <c r="N725" t="n">
        <v>300</v>
      </c>
      <c r="O725" t="n">
        <v>100</v>
      </c>
      <c r="P725" t="n">
        <v>5.9</v>
      </c>
    </row>
    <row r="726">
      <c r="A726" t="n">
        <v>828152</v>
      </c>
      <c r="B726" t="inlineStr">
        <is>
          <t>19-05-2026</t>
        </is>
      </c>
      <c r="C726" t="inlineStr">
        <is>
          <t>S58</t>
        </is>
      </c>
      <c r="D726" t="inlineStr">
        <is>
          <t>SKIDDER</t>
        </is>
      </c>
      <c r="E726" t="inlineStr">
        <is>
          <t>COIHUECO Y OTROS (BB)</t>
        </is>
      </c>
      <c r="F726" t="inlineStr">
        <is>
          <t>PIRA</t>
        </is>
      </c>
      <c r="G726" t="n">
        <v>480</v>
      </c>
      <c r="H726" t="n">
        <v>0</v>
      </c>
      <c r="I726" t="n">
        <v>2</v>
      </c>
      <c r="J726" t="n">
        <v>21</v>
      </c>
      <c r="K726" t="n">
        <v>0</v>
      </c>
      <c r="L726" t="n">
        <v>15.43</v>
      </c>
      <c r="M726" t="n">
        <v>0</v>
      </c>
      <c r="N726" t="n">
        <v>300</v>
      </c>
      <c r="O726" t="n">
        <v>100</v>
      </c>
      <c r="P726" t="n">
        <v>7.72</v>
      </c>
    </row>
    <row r="727">
      <c r="A727" t="n">
        <v>828152</v>
      </c>
      <c r="B727" t="inlineStr">
        <is>
          <t>19-05-2026</t>
        </is>
      </c>
      <c r="C727" t="inlineStr">
        <is>
          <t>S58</t>
        </is>
      </c>
      <c r="D727" t="inlineStr">
        <is>
          <t>SKIDDER</t>
        </is>
      </c>
      <c r="E727" t="inlineStr">
        <is>
          <t>COIHUECO Y OTROS (BB)</t>
        </is>
      </c>
      <c r="F727" t="inlineStr">
        <is>
          <t>PIRA</t>
        </is>
      </c>
      <c r="G727" t="n">
        <v>480</v>
      </c>
      <c r="H727" t="n">
        <v>0</v>
      </c>
      <c r="I727" t="n">
        <v>2</v>
      </c>
      <c r="J727" t="n">
        <v>21</v>
      </c>
      <c r="K727" t="n">
        <v>0</v>
      </c>
      <c r="L727" t="n">
        <v>4.37</v>
      </c>
      <c r="M727" t="n">
        <v>0</v>
      </c>
      <c r="N727" t="n">
        <v>300</v>
      </c>
      <c r="O727" t="n">
        <v>100</v>
      </c>
      <c r="P727" t="n">
        <v>2.18</v>
      </c>
    </row>
    <row r="728">
      <c r="A728" t="n">
        <v>828152</v>
      </c>
      <c r="B728" t="inlineStr">
        <is>
          <t>19-05-2026</t>
        </is>
      </c>
      <c r="C728" t="inlineStr">
        <is>
          <t>S58</t>
        </is>
      </c>
      <c r="D728" t="inlineStr">
        <is>
          <t>SKIDDER</t>
        </is>
      </c>
      <c r="E728" t="inlineStr">
        <is>
          <t>COIHUECO Y OTROS (BB)</t>
        </is>
      </c>
      <c r="F728" t="inlineStr">
        <is>
          <t>PIRA</t>
        </is>
      </c>
      <c r="G728" t="n">
        <v>480</v>
      </c>
      <c r="H728" t="n">
        <v>0</v>
      </c>
      <c r="I728" t="n">
        <v>2</v>
      </c>
      <c r="J728" t="n">
        <v>21</v>
      </c>
      <c r="K728" t="n">
        <v>0</v>
      </c>
      <c r="L728" t="n">
        <v>12.35</v>
      </c>
      <c r="M728" t="n">
        <v>0</v>
      </c>
      <c r="N728" t="n">
        <v>300</v>
      </c>
      <c r="O728" t="n">
        <v>100</v>
      </c>
      <c r="P728" t="n">
        <v>6.18</v>
      </c>
    </row>
    <row r="729">
      <c r="A729" t="n">
        <v>828153</v>
      </c>
      <c r="B729" t="inlineStr">
        <is>
          <t>19-05-2026</t>
        </is>
      </c>
      <c r="C729" t="inlineStr">
        <is>
          <t>S223</t>
        </is>
      </c>
      <c r="D729" t="inlineStr">
        <is>
          <t>SKIDDER</t>
        </is>
      </c>
      <c r="E729" t="inlineStr">
        <is>
          <t>LAS ULLOAS (BB)</t>
        </is>
      </c>
      <c r="F729" t="inlineStr">
        <is>
          <t>PIRA</t>
        </is>
      </c>
      <c r="G729" t="n">
        <v>720</v>
      </c>
      <c r="H729" t="n">
        <v>0</v>
      </c>
      <c r="I729" t="n">
        <v>6</v>
      </c>
      <c r="J729" t="n">
        <v>23</v>
      </c>
      <c r="K729" t="n">
        <v>0</v>
      </c>
      <c r="L729" t="n">
        <v>5.99</v>
      </c>
      <c r="M729" t="n">
        <v>300</v>
      </c>
      <c r="N729" t="n">
        <v>300</v>
      </c>
      <c r="O729" t="n">
        <v>99.3</v>
      </c>
      <c r="P729" t="n">
        <v>1</v>
      </c>
    </row>
    <row r="730">
      <c r="A730" t="n">
        <v>828153</v>
      </c>
      <c r="B730" t="inlineStr">
        <is>
          <t>19-05-2026</t>
        </is>
      </c>
      <c r="C730" t="inlineStr">
        <is>
          <t>S223</t>
        </is>
      </c>
      <c r="D730" t="inlineStr">
        <is>
          <t>SKIDDER</t>
        </is>
      </c>
      <c r="E730" t="inlineStr">
        <is>
          <t>LAS ULLOAS (BB)</t>
        </is>
      </c>
      <c r="F730" t="inlineStr">
        <is>
          <t>PIRA</t>
        </is>
      </c>
      <c r="G730" t="n">
        <v>720</v>
      </c>
      <c r="H730" t="n">
        <v>0</v>
      </c>
      <c r="I730" t="n">
        <v>6</v>
      </c>
      <c r="J730" t="n">
        <v>23</v>
      </c>
      <c r="K730" t="n">
        <v>0</v>
      </c>
      <c r="L730" t="n">
        <v>26</v>
      </c>
      <c r="M730" t="n">
        <v>300</v>
      </c>
      <c r="N730" t="n">
        <v>300</v>
      </c>
      <c r="O730" t="n">
        <v>99.3</v>
      </c>
      <c r="P730" t="n">
        <v>4.33</v>
      </c>
    </row>
    <row r="731">
      <c r="A731" t="n">
        <v>828153</v>
      </c>
      <c r="B731" t="inlineStr">
        <is>
          <t>19-05-2026</t>
        </is>
      </c>
      <c r="C731" t="inlineStr">
        <is>
          <t>S223</t>
        </is>
      </c>
      <c r="D731" t="inlineStr">
        <is>
          <t>SKIDDER</t>
        </is>
      </c>
      <c r="E731" t="inlineStr">
        <is>
          <t>LAS ULLOAS (BB)</t>
        </is>
      </c>
      <c r="F731" t="inlineStr">
        <is>
          <t>PIRA</t>
        </is>
      </c>
      <c r="G731" t="n">
        <v>720</v>
      </c>
      <c r="H731" t="n">
        <v>0</v>
      </c>
      <c r="I731" t="n">
        <v>6</v>
      </c>
      <c r="J731" t="n">
        <v>23</v>
      </c>
      <c r="K731" t="n">
        <v>0</v>
      </c>
      <c r="L731" t="n">
        <v>31.16</v>
      </c>
      <c r="M731" t="n">
        <v>300</v>
      </c>
      <c r="N731" t="n">
        <v>300</v>
      </c>
      <c r="O731" t="n">
        <v>99.3</v>
      </c>
      <c r="P731" t="n">
        <v>5.19</v>
      </c>
    </row>
    <row r="732">
      <c r="A732" t="n">
        <v>828153</v>
      </c>
      <c r="B732" t="inlineStr">
        <is>
          <t>19-05-2026</t>
        </is>
      </c>
      <c r="C732" t="inlineStr">
        <is>
          <t>S223</t>
        </is>
      </c>
      <c r="D732" t="inlineStr">
        <is>
          <t>SKIDDER</t>
        </is>
      </c>
      <c r="E732" t="inlineStr">
        <is>
          <t>LAS ULLOAS (BB)</t>
        </is>
      </c>
      <c r="F732" t="inlineStr">
        <is>
          <t>PIRA</t>
        </is>
      </c>
      <c r="G732" t="n">
        <v>720</v>
      </c>
      <c r="H732" t="n">
        <v>0</v>
      </c>
      <c r="I732" t="n">
        <v>6</v>
      </c>
      <c r="J732" t="n">
        <v>23</v>
      </c>
      <c r="K732" t="n">
        <v>0</v>
      </c>
      <c r="L732" t="n">
        <v>51.75</v>
      </c>
      <c r="M732" t="n">
        <v>300</v>
      </c>
      <c r="N732" t="n">
        <v>300</v>
      </c>
      <c r="O732" t="n">
        <v>99.3</v>
      </c>
      <c r="P732" t="n">
        <v>8.619999999999999</v>
      </c>
    </row>
    <row r="733">
      <c r="A733" t="n">
        <v>828161</v>
      </c>
      <c r="B733" t="inlineStr">
        <is>
          <t>19-05-2026</t>
        </is>
      </c>
      <c r="C733" t="inlineStr">
        <is>
          <t>MG5</t>
        </is>
      </c>
      <c r="D733" t="inlineStr">
        <is>
          <t>GRAPPLE</t>
        </is>
      </c>
      <c r="E733" t="inlineStr">
        <is>
          <t>CE-27 ESPINALILLO YBAR</t>
        </is>
      </c>
      <c r="F733" t="inlineStr">
        <is>
          <t>PIRA</t>
        </is>
      </c>
      <c r="G733" t="n">
        <v>720</v>
      </c>
      <c r="H733" t="n">
        <v>0</v>
      </c>
      <c r="I733" t="n">
        <v>11</v>
      </c>
      <c r="J733" t="n">
        <v>162</v>
      </c>
      <c r="K733" t="n">
        <v>0</v>
      </c>
      <c r="L733" t="n">
        <v>15.04</v>
      </c>
      <c r="M733" t="n">
        <v>0</v>
      </c>
      <c r="N733" t="n">
        <v>0</v>
      </c>
      <c r="O733" t="n">
        <v>100</v>
      </c>
      <c r="P733" t="n">
        <v>1.37</v>
      </c>
    </row>
    <row r="734">
      <c r="A734" t="n">
        <v>828161</v>
      </c>
      <c r="B734" t="inlineStr">
        <is>
          <t>19-05-2026</t>
        </is>
      </c>
      <c r="C734" t="inlineStr">
        <is>
          <t>MG5</t>
        </is>
      </c>
      <c r="D734" t="inlineStr">
        <is>
          <t>GRAPPLE</t>
        </is>
      </c>
      <c r="E734" t="inlineStr">
        <is>
          <t>CE-27 ESPINALILLO YBAR</t>
        </is>
      </c>
      <c r="F734" t="inlineStr">
        <is>
          <t>PIRA</t>
        </is>
      </c>
      <c r="G734" t="n">
        <v>720</v>
      </c>
      <c r="H734" t="n">
        <v>0</v>
      </c>
      <c r="I734" t="n">
        <v>11</v>
      </c>
      <c r="J734" t="n">
        <v>162</v>
      </c>
      <c r="K734" t="n">
        <v>0</v>
      </c>
      <c r="L734" t="n">
        <v>213.28</v>
      </c>
      <c r="M734" t="n">
        <v>0</v>
      </c>
      <c r="N734" t="n">
        <v>0</v>
      </c>
      <c r="O734" t="n">
        <v>100</v>
      </c>
      <c r="P734" t="n">
        <v>19.39</v>
      </c>
    </row>
    <row r="735">
      <c r="A735" t="n">
        <v>828161</v>
      </c>
      <c r="B735" t="inlineStr">
        <is>
          <t>19-05-2026</t>
        </is>
      </c>
      <c r="C735" t="inlineStr">
        <is>
          <t>MG5</t>
        </is>
      </c>
      <c r="D735" t="inlineStr">
        <is>
          <t>GRAPPLE</t>
        </is>
      </c>
      <c r="E735" t="inlineStr">
        <is>
          <t>CE-27 ESPINALILLO YBAR</t>
        </is>
      </c>
      <c r="F735" t="inlineStr">
        <is>
          <t>PIRA</t>
        </is>
      </c>
      <c r="G735" t="n">
        <v>720</v>
      </c>
      <c r="H735" t="n">
        <v>0</v>
      </c>
      <c r="I735" t="n">
        <v>11</v>
      </c>
      <c r="J735" t="n">
        <v>162</v>
      </c>
      <c r="K735" t="n">
        <v>0</v>
      </c>
      <c r="L735" t="n">
        <v>128.74</v>
      </c>
      <c r="M735" t="n">
        <v>0</v>
      </c>
      <c r="N735" t="n">
        <v>0</v>
      </c>
      <c r="O735" t="n">
        <v>100</v>
      </c>
      <c r="P735" t="n">
        <v>11.7</v>
      </c>
    </row>
    <row r="736">
      <c r="A736" t="n">
        <v>828165</v>
      </c>
      <c r="B736" t="inlineStr">
        <is>
          <t>19-05-2026</t>
        </is>
      </c>
      <c r="C736" t="inlineStr">
        <is>
          <t>S123</t>
        </is>
      </c>
      <c r="D736" t="inlineStr">
        <is>
          <t>SKIDDER</t>
        </is>
      </c>
      <c r="E736" t="inlineStr">
        <is>
          <t>QUIRIQUINO</t>
        </is>
      </c>
      <c r="F736" t="inlineStr">
        <is>
          <t>PIRA</t>
        </is>
      </c>
      <c r="G736" t="n">
        <v>720</v>
      </c>
      <c r="H736" t="n">
        <v>0</v>
      </c>
      <c r="I736" t="n">
        <v>6</v>
      </c>
      <c r="J736" t="n">
        <v>44</v>
      </c>
      <c r="K736" t="n">
        <v>0</v>
      </c>
      <c r="L736" t="n">
        <v>0</v>
      </c>
      <c r="M736" t="n">
        <v>0</v>
      </c>
      <c r="N736" t="n">
        <v>300</v>
      </c>
      <c r="O736" t="n">
        <v>100</v>
      </c>
      <c r="P736" t="n">
        <v>0</v>
      </c>
    </row>
    <row r="737">
      <c r="A737" t="n">
        <v>828165</v>
      </c>
      <c r="B737" t="inlineStr">
        <is>
          <t>19-05-2026</t>
        </is>
      </c>
      <c r="C737" t="inlineStr">
        <is>
          <t>S123</t>
        </is>
      </c>
      <c r="D737" t="inlineStr">
        <is>
          <t>SKIDDER</t>
        </is>
      </c>
      <c r="E737" t="inlineStr">
        <is>
          <t>QUIRIQUINO</t>
        </is>
      </c>
      <c r="F737" t="inlineStr">
        <is>
          <t>PIRA</t>
        </is>
      </c>
      <c r="G737" t="n">
        <v>720</v>
      </c>
      <c r="H737" t="n">
        <v>0</v>
      </c>
      <c r="I737" t="n">
        <v>6</v>
      </c>
      <c r="J737" t="n">
        <v>44</v>
      </c>
      <c r="K737" t="n">
        <v>0</v>
      </c>
      <c r="L737" t="n">
        <v>24.26</v>
      </c>
      <c r="M737" t="n">
        <v>0</v>
      </c>
      <c r="N737" t="n">
        <v>300</v>
      </c>
      <c r="O737" t="n">
        <v>100</v>
      </c>
      <c r="P737" t="n">
        <v>4.04</v>
      </c>
    </row>
    <row r="738">
      <c r="A738" t="n">
        <v>828165</v>
      </c>
      <c r="B738" t="inlineStr">
        <is>
          <t>19-05-2026</t>
        </is>
      </c>
      <c r="C738" t="inlineStr">
        <is>
          <t>S123</t>
        </is>
      </c>
      <c r="D738" t="inlineStr">
        <is>
          <t>SKIDDER</t>
        </is>
      </c>
      <c r="E738" t="inlineStr">
        <is>
          <t>QUIRIQUINO</t>
        </is>
      </c>
      <c r="F738" t="inlineStr">
        <is>
          <t>PIRA</t>
        </is>
      </c>
      <c r="G738" t="n">
        <v>720</v>
      </c>
      <c r="H738" t="n">
        <v>0</v>
      </c>
      <c r="I738" t="n">
        <v>6</v>
      </c>
      <c r="J738" t="n">
        <v>44</v>
      </c>
      <c r="K738" t="n">
        <v>0</v>
      </c>
      <c r="L738" t="n">
        <v>23</v>
      </c>
      <c r="M738" t="n">
        <v>0</v>
      </c>
      <c r="N738" t="n">
        <v>300</v>
      </c>
      <c r="O738" t="n">
        <v>100</v>
      </c>
      <c r="P738" t="n">
        <v>3.83</v>
      </c>
    </row>
    <row r="739">
      <c r="A739" t="n">
        <v>828165</v>
      </c>
      <c r="B739" t="inlineStr">
        <is>
          <t>19-05-2026</t>
        </is>
      </c>
      <c r="C739" t="inlineStr">
        <is>
          <t>S123</t>
        </is>
      </c>
      <c r="D739" t="inlineStr">
        <is>
          <t>SKIDDER</t>
        </is>
      </c>
      <c r="E739" t="inlineStr">
        <is>
          <t>QUIRIQUINO</t>
        </is>
      </c>
      <c r="F739" t="inlineStr">
        <is>
          <t>PIRA</t>
        </is>
      </c>
      <c r="G739" t="n">
        <v>720</v>
      </c>
      <c r="H739" t="n">
        <v>0</v>
      </c>
      <c r="I739" t="n">
        <v>6</v>
      </c>
      <c r="J739" t="n">
        <v>44</v>
      </c>
      <c r="K739" t="n">
        <v>0</v>
      </c>
      <c r="L739" t="n">
        <v>10.28</v>
      </c>
      <c r="M739" t="n">
        <v>0</v>
      </c>
      <c r="N739" t="n">
        <v>300</v>
      </c>
      <c r="O739" t="n">
        <v>100</v>
      </c>
      <c r="P739" t="n">
        <v>1.71</v>
      </c>
    </row>
    <row r="740">
      <c r="A740" t="n">
        <v>828165</v>
      </c>
      <c r="B740" t="inlineStr">
        <is>
          <t>19-05-2026</t>
        </is>
      </c>
      <c r="C740" t="inlineStr">
        <is>
          <t>S123</t>
        </is>
      </c>
      <c r="D740" t="inlineStr">
        <is>
          <t>SKIDDER</t>
        </is>
      </c>
      <c r="E740" t="inlineStr">
        <is>
          <t>QUIRIQUINO</t>
        </is>
      </c>
      <c r="F740" t="inlineStr">
        <is>
          <t>PIRA</t>
        </is>
      </c>
      <c r="G740" t="n">
        <v>720</v>
      </c>
      <c r="H740" t="n">
        <v>0</v>
      </c>
      <c r="I740" t="n">
        <v>6</v>
      </c>
      <c r="J740" t="n">
        <v>44</v>
      </c>
      <c r="K740" t="n">
        <v>0</v>
      </c>
      <c r="L740" t="n">
        <v>48.08</v>
      </c>
      <c r="M740" t="n">
        <v>0</v>
      </c>
      <c r="N740" t="n">
        <v>300</v>
      </c>
      <c r="O740" t="n">
        <v>100</v>
      </c>
      <c r="P740" t="n">
        <v>8.01</v>
      </c>
    </row>
    <row r="741">
      <c r="A741" t="n">
        <v>828165</v>
      </c>
      <c r="B741" t="inlineStr">
        <is>
          <t>19-05-2026</t>
        </is>
      </c>
      <c r="C741" t="inlineStr">
        <is>
          <t>S123</t>
        </is>
      </c>
      <c r="D741" t="inlineStr">
        <is>
          <t>SKIDDER</t>
        </is>
      </c>
      <c r="E741" t="inlineStr">
        <is>
          <t>QUIRIQUINO</t>
        </is>
      </c>
      <c r="F741" t="inlineStr">
        <is>
          <t>PIRA</t>
        </is>
      </c>
      <c r="G741" t="n">
        <v>720</v>
      </c>
      <c r="H741" t="n">
        <v>0</v>
      </c>
      <c r="I741" t="n">
        <v>6</v>
      </c>
      <c r="J741" t="n">
        <v>44</v>
      </c>
      <c r="K741" t="n">
        <v>0</v>
      </c>
      <c r="L741" t="n">
        <v>146.3</v>
      </c>
      <c r="M741" t="n">
        <v>0</v>
      </c>
      <c r="N741" t="n">
        <v>300</v>
      </c>
      <c r="O741" t="n">
        <v>100</v>
      </c>
      <c r="P741" t="n">
        <v>24.38</v>
      </c>
    </row>
    <row r="742">
      <c r="A742" t="n">
        <v>828183</v>
      </c>
      <c r="B742" t="inlineStr">
        <is>
          <t>19-05-2026</t>
        </is>
      </c>
      <c r="C742" t="inlineStr">
        <is>
          <t>S246</t>
        </is>
      </c>
      <c r="D742" t="inlineStr">
        <is>
          <t>SKIDDER</t>
        </is>
      </c>
      <c r="E742" t="inlineStr">
        <is>
          <t>LAS MERCEDES C13</t>
        </is>
      </c>
      <c r="F742" t="inlineStr">
        <is>
          <t>PIRA</t>
        </is>
      </c>
      <c r="G742" t="n">
        <v>720</v>
      </c>
      <c r="H742" t="n">
        <v>0</v>
      </c>
      <c r="I742" t="n">
        <v>10</v>
      </c>
      <c r="J742" t="n">
        <v>48</v>
      </c>
      <c r="K742" t="n">
        <v>0</v>
      </c>
      <c r="L742" t="n">
        <v>114.47</v>
      </c>
      <c r="M742" t="n">
        <v>60</v>
      </c>
      <c r="N742" t="n">
        <v>60</v>
      </c>
      <c r="O742" t="n">
        <v>99.90000000000001</v>
      </c>
      <c r="P742" t="n">
        <v>11.45</v>
      </c>
    </row>
    <row r="743">
      <c r="A743" t="n">
        <v>828183</v>
      </c>
      <c r="B743" t="inlineStr">
        <is>
          <t>19-05-2026</t>
        </is>
      </c>
      <c r="C743" t="inlineStr">
        <is>
          <t>S246</t>
        </is>
      </c>
      <c r="D743" t="inlineStr">
        <is>
          <t>SKIDDER</t>
        </is>
      </c>
      <c r="E743" t="inlineStr">
        <is>
          <t>LAS MERCEDES C13</t>
        </is>
      </c>
      <c r="F743" t="inlineStr">
        <is>
          <t>PIRA</t>
        </is>
      </c>
      <c r="G743" t="n">
        <v>720</v>
      </c>
      <c r="H743" t="n">
        <v>0</v>
      </c>
      <c r="I743" t="n">
        <v>10</v>
      </c>
      <c r="J743" t="n">
        <v>48</v>
      </c>
      <c r="K743" t="n">
        <v>0</v>
      </c>
      <c r="L743" t="n">
        <v>37.05</v>
      </c>
      <c r="M743" t="n">
        <v>60</v>
      </c>
      <c r="N743" t="n">
        <v>60</v>
      </c>
      <c r="O743" t="n">
        <v>99.90000000000001</v>
      </c>
      <c r="P743" t="n">
        <v>3.7</v>
      </c>
    </row>
    <row r="744">
      <c r="A744" t="n">
        <v>828186</v>
      </c>
      <c r="B744" t="inlineStr">
        <is>
          <t>19-05-2026</t>
        </is>
      </c>
      <c r="C744" t="inlineStr">
        <is>
          <t>TEA08</t>
        </is>
      </c>
      <c r="D744" t="inlineStr">
        <is>
          <t>FORWINCH</t>
        </is>
      </c>
      <c r="E744" t="inlineStr">
        <is>
          <t>COIHUECO Y OTROS (BB)</t>
        </is>
      </c>
      <c r="F744" t="inlineStr">
        <is>
          <t>PIRA</t>
        </is>
      </c>
      <c r="G744" t="n">
        <v>720</v>
      </c>
      <c r="H744" t="n">
        <v>0</v>
      </c>
      <c r="I744" t="n">
        <v>10</v>
      </c>
      <c r="J744" t="n">
        <v>66</v>
      </c>
      <c r="K744" t="n">
        <v>0</v>
      </c>
      <c r="L744" t="n">
        <v>9.58</v>
      </c>
      <c r="M744" t="n">
        <v>0</v>
      </c>
      <c r="N744" t="n">
        <v>60</v>
      </c>
      <c r="O744" t="n">
        <v>100</v>
      </c>
      <c r="P744" t="n">
        <v>0.96</v>
      </c>
    </row>
    <row r="745">
      <c r="A745" t="n">
        <v>828186</v>
      </c>
      <c r="B745" t="inlineStr">
        <is>
          <t>19-05-2026</t>
        </is>
      </c>
      <c r="C745" t="inlineStr">
        <is>
          <t>TEA08</t>
        </is>
      </c>
      <c r="D745" t="inlineStr">
        <is>
          <t>FORWINCH</t>
        </is>
      </c>
      <c r="E745" t="inlineStr">
        <is>
          <t>COIHUECO Y OTROS (BB)</t>
        </is>
      </c>
      <c r="F745" t="inlineStr">
        <is>
          <t>PIRA</t>
        </is>
      </c>
      <c r="G745" t="n">
        <v>720</v>
      </c>
      <c r="H745" t="n">
        <v>0</v>
      </c>
      <c r="I745" t="n">
        <v>10</v>
      </c>
      <c r="J745" t="n">
        <v>66</v>
      </c>
      <c r="K745" t="n">
        <v>0</v>
      </c>
      <c r="L745" t="n">
        <v>21.25</v>
      </c>
      <c r="M745" t="n">
        <v>0</v>
      </c>
      <c r="N745" t="n">
        <v>60</v>
      </c>
      <c r="O745" t="n">
        <v>100</v>
      </c>
      <c r="P745" t="n">
        <v>2.12</v>
      </c>
    </row>
    <row r="746">
      <c r="A746" t="n">
        <v>828186</v>
      </c>
      <c r="B746" t="inlineStr">
        <is>
          <t>19-05-2026</t>
        </is>
      </c>
      <c r="C746" t="inlineStr">
        <is>
          <t>TEA08</t>
        </is>
      </c>
      <c r="D746" t="inlineStr">
        <is>
          <t>FORWINCH</t>
        </is>
      </c>
      <c r="E746" t="inlineStr">
        <is>
          <t>COIHUECO Y OTROS (BB)</t>
        </is>
      </c>
      <c r="F746" t="inlineStr">
        <is>
          <t>PIRA</t>
        </is>
      </c>
      <c r="G746" t="n">
        <v>720</v>
      </c>
      <c r="H746" t="n">
        <v>0</v>
      </c>
      <c r="I746" t="n">
        <v>10</v>
      </c>
      <c r="J746" t="n">
        <v>66</v>
      </c>
      <c r="K746" t="n">
        <v>0</v>
      </c>
      <c r="L746" t="n">
        <v>83.17</v>
      </c>
      <c r="M746" t="n">
        <v>0</v>
      </c>
      <c r="N746" t="n">
        <v>60</v>
      </c>
      <c r="O746" t="n">
        <v>100</v>
      </c>
      <c r="P746" t="n">
        <v>8.32</v>
      </c>
    </row>
    <row r="747">
      <c r="A747" t="n">
        <v>828186</v>
      </c>
      <c r="B747" t="inlineStr">
        <is>
          <t>19-05-2026</t>
        </is>
      </c>
      <c r="C747" t="inlineStr">
        <is>
          <t>TEA08</t>
        </is>
      </c>
      <c r="D747" t="inlineStr">
        <is>
          <t>FORWINCH</t>
        </is>
      </c>
      <c r="E747" t="inlineStr">
        <is>
          <t>COIHUECO Y OTROS (BB)</t>
        </is>
      </c>
      <c r="F747" t="inlineStr">
        <is>
          <t>PIRA</t>
        </is>
      </c>
      <c r="G747" t="n">
        <v>720</v>
      </c>
      <c r="H747" t="n">
        <v>0</v>
      </c>
      <c r="I747" t="n">
        <v>10</v>
      </c>
      <c r="J747" t="n">
        <v>66</v>
      </c>
      <c r="K747" t="n">
        <v>0</v>
      </c>
      <c r="L747" t="n">
        <v>114.08</v>
      </c>
      <c r="M747" t="n">
        <v>0</v>
      </c>
      <c r="N747" t="n">
        <v>60</v>
      </c>
      <c r="O747" t="n">
        <v>100</v>
      </c>
      <c r="P747" t="n">
        <v>11.41</v>
      </c>
    </row>
    <row r="748">
      <c r="A748" t="n">
        <v>828186</v>
      </c>
      <c r="B748" t="inlineStr">
        <is>
          <t>19-05-2026</t>
        </is>
      </c>
      <c r="C748" t="inlineStr">
        <is>
          <t>TEA08</t>
        </is>
      </c>
      <c r="D748" t="inlineStr">
        <is>
          <t>FORWINCH</t>
        </is>
      </c>
      <c r="E748" t="inlineStr">
        <is>
          <t>COIHUECO Y OTROS (BB)</t>
        </is>
      </c>
      <c r="F748" t="inlineStr">
        <is>
          <t>PIRA</t>
        </is>
      </c>
      <c r="G748" t="n">
        <v>720</v>
      </c>
      <c r="H748" t="n">
        <v>0</v>
      </c>
      <c r="I748" t="n">
        <v>10</v>
      </c>
      <c r="J748" t="n">
        <v>66</v>
      </c>
      <c r="K748" t="n">
        <v>0</v>
      </c>
      <c r="L748" t="n">
        <v>148.2</v>
      </c>
      <c r="M748" t="n">
        <v>0</v>
      </c>
      <c r="N748" t="n">
        <v>60</v>
      </c>
      <c r="O748" t="n">
        <v>100</v>
      </c>
      <c r="P748" t="n">
        <v>14.82</v>
      </c>
    </row>
    <row r="749">
      <c r="A749" t="n">
        <v>828186</v>
      </c>
      <c r="B749" t="inlineStr">
        <is>
          <t>19-05-2026</t>
        </is>
      </c>
      <c r="C749" t="inlineStr">
        <is>
          <t>TEA08</t>
        </is>
      </c>
      <c r="D749" t="inlineStr">
        <is>
          <t>FORWINCH</t>
        </is>
      </c>
      <c r="E749" t="inlineStr">
        <is>
          <t>COIHUECO Y OTROS (BB)</t>
        </is>
      </c>
      <c r="F749" t="inlineStr">
        <is>
          <t>PIRA</t>
        </is>
      </c>
      <c r="G749" t="n">
        <v>720</v>
      </c>
      <c r="H749" t="n">
        <v>0</v>
      </c>
      <c r="I749" t="n">
        <v>10</v>
      </c>
      <c r="J749" t="n">
        <v>66</v>
      </c>
      <c r="K749" t="n">
        <v>0</v>
      </c>
      <c r="L749" t="n">
        <v>4.75</v>
      </c>
      <c r="M749" t="n">
        <v>0</v>
      </c>
      <c r="N749" t="n">
        <v>60</v>
      </c>
      <c r="O749" t="n">
        <v>100</v>
      </c>
      <c r="P749" t="n">
        <v>0.48</v>
      </c>
    </row>
    <row r="750">
      <c r="A750" t="n">
        <v>828197</v>
      </c>
      <c r="B750" t="inlineStr">
        <is>
          <t>19-05-2026</t>
        </is>
      </c>
      <c r="C750" t="inlineStr">
        <is>
          <t>TEA02</t>
        </is>
      </c>
      <c r="D750" t="inlineStr">
        <is>
          <t>FORWINCH</t>
        </is>
      </c>
      <c r="E750" t="inlineStr">
        <is>
          <t>LOMA DE LA VACA</t>
        </is>
      </c>
      <c r="F750" t="inlineStr">
        <is>
          <t>PIRA</t>
        </is>
      </c>
      <c r="G750" t="n">
        <v>720</v>
      </c>
      <c r="H750" t="n">
        <v>0</v>
      </c>
      <c r="I750" t="n">
        <v>10.5</v>
      </c>
      <c r="J750" t="n">
        <v>33</v>
      </c>
      <c r="K750" t="n">
        <v>0</v>
      </c>
      <c r="L750" t="n">
        <v>146.83</v>
      </c>
      <c r="M750" t="n">
        <v>0</v>
      </c>
      <c r="N750" t="n">
        <v>30</v>
      </c>
      <c r="O750" t="n">
        <v>100</v>
      </c>
      <c r="P750" t="n">
        <v>13.98</v>
      </c>
    </row>
    <row r="751">
      <c r="A751" t="n">
        <v>828197</v>
      </c>
      <c r="B751" t="inlineStr">
        <is>
          <t>19-05-2026</t>
        </is>
      </c>
      <c r="C751" t="inlineStr">
        <is>
          <t>TEA02</t>
        </is>
      </c>
      <c r="D751" t="inlineStr">
        <is>
          <t>FORWINCH</t>
        </is>
      </c>
      <c r="E751" t="inlineStr">
        <is>
          <t>LOMA DE LA VACA</t>
        </is>
      </c>
      <c r="F751" t="inlineStr">
        <is>
          <t>PIRA</t>
        </is>
      </c>
      <c r="G751" t="n">
        <v>720</v>
      </c>
      <c r="H751" t="n">
        <v>0</v>
      </c>
      <c r="I751" t="n">
        <v>10.5</v>
      </c>
      <c r="J751" t="n">
        <v>33</v>
      </c>
      <c r="K751" t="n">
        <v>0</v>
      </c>
      <c r="L751" t="n">
        <v>68.23999999999999</v>
      </c>
      <c r="M751" t="n">
        <v>0</v>
      </c>
      <c r="N751" t="n">
        <v>30</v>
      </c>
      <c r="O751" t="n">
        <v>100</v>
      </c>
      <c r="P751" t="n">
        <v>6.5</v>
      </c>
    </row>
    <row r="752">
      <c r="A752" t="n">
        <v>828198</v>
      </c>
      <c r="B752" t="inlineStr">
        <is>
          <t>19-05-2026</t>
        </is>
      </c>
      <c r="C752" t="inlineStr">
        <is>
          <t>T125</t>
        </is>
      </c>
      <c r="D752" t="inlineStr">
        <is>
          <t>TORRE500</t>
        </is>
      </c>
      <c r="E752" t="inlineStr">
        <is>
          <t>POLHUIN</t>
        </is>
      </c>
      <c r="F752" t="inlineStr">
        <is>
          <t>EUGL</t>
        </is>
      </c>
      <c r="G752" t="n">
        <v>720</v>
      </c>
      <c r="H752" t="n">
        <v>0</v>
      </c>
      <c r="I752" t="n">
        <v>11</v>
      </c>
      <c r="J752" t="n">
        <v>154</v>
      </c>
      <c r="K752" t="n">
        <v>0</v>
      </c>
      <c r="L752" t="n">
        <v>316.26</v>
      </c>
      <c r="M752" t="n">
        <v>0</v>
      </c>
      <c r="N752" t="n">
        <v>0</v>
      </c>
      <c r="O752" t="n">
        <v>100</v>
      </c>
      <c r="P752" t="n">
        <v>28.75</v>
      </c>
    </row>
    <row r="753">
      <c r="A753" t="n">
        <v>828281</v>
      </c>
      <c r="B753" t="inlineStr">
        <is>
          <t>01-05-2026</t>
        </is>
      </c>
      <c r="C753" t="inlineStr">
        <is>
          <t>S123</t>
        </is>
      </c>
      <c r="D753" t="inlineStr">
        <is>
          <t>SKIDDER</t>
        </is>
      </c>
      <c r="E753" t="inlineStr">
        <is>
          <t>EL CABRITO CBB</t>
        </is>
      </c>
      <c r="F753" t="inlineStr">
        <is>
          <t>PIRA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36</v>
      </c>
      <c r="M753" t="n">
        <v>0</v>
      </c>
      <c r="N753" t="n">
        <v>0</v>
      </c>
      <c r="O753" t="n">
        <v>100</v>
      </c>
      <c r="P753" t="n">
        <v>0</v>
      </c>
    </row>
    <row r="754">
      <c r="A754" t="n">
        <v>828281</v>
      </c>
      <c r="B754" t="inlineStr">
        <is>
          <t>01-05-2026</t>
        </is>
      </c>
      <c r="C754" t="inlineStr">
        <is>
          <t>S123</t>
        </is>
      </c>
      <c r="D754" t="inlineStr">
        <is>
          <t>SKIDDER</t>
        </is>
      </c>
      <c r="E754" t="inlineStr">
        <is>
          <t>EL CABRITO CBB</t>
        </is>
      </c>
      <c r="F754" t="inlineStr">
        <is>
          <t>PIRA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192</v>
      </c>
      <c r="M754" t="n">
        <v>0</v>
      </c>
      <c r="N754" t="n">
        <v>0</v>
      </c>
      <c r="O754" t="n">
        <v>100</v>
      </c>
      <c r="P754" t="n">
        <v>0</v>
      </c>
    </row>
    <row r="755">
      <c r="A755" t="n">
        <v>828281</v>
      </c>
      <c r="B755" t="inlineStr">
        <is>
          <t>01-05-2026</t>
        </is>
      </c>
      <c r="C755" t="inlineStr">
        <is>
          <t>S123</t>
        </is>
      </c>
      <c r="D755" t="inlineStr">
        <is>
          <t>SKIDDER</t>
        </is>
      </c>
      <c r="E755" t="inlineStr">
        <is>
          <t>EL CABRITO CBB</t>
        </is>
      </c>
      <c r="F755" t="inlineStr">
        <is>
          <t>PIRA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44</v>
      </c>
      <c r="M755" t="n">
        <v>0</v>
      </c>
      <c r="N755" t="n">
        <v>0</v>
      </c>
      <c r="O755" t="n">
        <v>100</v>
      </c>
      <c r="P755" t="n">
        <v>0</v>
      </c>
    </row>
    <row r="756">
      <c r="A756" t="n">
        <v>828282</v>
      </c>
      <c r="B756" t="inlineStr">
        <is>
          <t>01-05-2026</t>
        </is>
      </c>
      <c r="C756" t="inlineStr">
        <is>
          <t>TEA02</t>
        </is>
      </c>
      <c r="D756" t="inlineStr">
        <is>
          <t>FORWINCH</t>
        </is>
      </c>
      <c r="E756" t="inlineStr">
        <is>
          <t>EL CABRITO CBB</t>
        </is>
      </c>
      <c r="F756" t="inlineStr">
        <is>
          <t>PIRA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244</v>
      </c>
      <c r="M756" t="n">
        <v>0</v>
      </c>
      <c r="N756" t="n">
        <v>0</v>
      </c>
      <c r="O756" t="n">
        <v>100</v>
      </c>
      <c r="P756" t="n">
        <v>0</v>
      </c>
    </row>
    <row r="757">
      <c r="A757" t="n">
        <v>828291</v>
      </c>
      <c r="B757" t="inlineStr">
        <is>
          <t>20-05-2026</t>
        </is>
      </c>
      <c r="C757" t="inlineStr">
        <is>
          <t>S123</t>
        </is>
      </c>
      <c r="D757" t="inlineStr">
        <is>
          <t>SKIDDER</t>
        </is>
      </c>
      <c r="E757" t="inlineStr">
        <is>
          <t>QUIRIQUINO</t>
        </is>
      </c>
      <c r="F757" t="inlineStr">
        <is>
          <t>PIRA</t>
        </is>
      </c>
      <c r="G757" t="n">
        <v>720</v>
      </c>
      <c r="H757" t="n">
        <v>0</v>
      </c>
      <c r="I757" t="n">
        <v>4</v>
      </c>
      <c r="J757" t="n">
        <v>19</v>
      </c>
      <c r="K757" t="n">
        <v>0</v>
      </c>
      <c r="L757" t="n">
        <v>0</v>
      </c>
      <c r="M757" t="n">
        <v>0</v>
      </c>
      <c r="N757" t="n">
        <v>420</v>
      </c>
      <c r="O757" t="n">
        <v>100</v>
      </c>
      <c r="P757" t="n">
        <v>0</v>
      </c>
    </row>
    <row r="758">
      <c r="A758" t="n">
        <v>828291</v>
      </c>
      <c r="B758" t="inlineStr">
        <is>
          <t>20-05-2026</t>
        </is>
      </c>
      <c r="C758" t="inlineStr">
        <is>
          <t>S123</t>
        </is>
      </c>
      <c r="D758" t="inlineStr">
        <is>
          <t>SKIDDER</t>
        </is>
      </c>
      <c r="E758" t="inlineStr">
        <is>
          <t>QUIRIQUINO</t>
        </is>
      </c>
      <c r="F758" t="inlineStr">
        <is>
          <t>PIRA</t>
        </is>
      </c>
      <c r="G758" t="n">
        <v>720</v>
      </c>
      <c r="H758" t="n">
        <v>0</v>
      </c>
      <c r="I758" t="n">
        <v>4</v>
      </c>
      <c r="J758" t="n">
        <v>19</v>
      </c>
      <c r="K758" t="n">
        <v>0</v>
      </c>
      <c r="L758" t="n">
        <v>10.4</v>
      </c>
      <c r="M758" t="n">
        <v>0</v>
      </c>
      <c r="N758" t="n">
        <v>420</v>
      </c>
      <c r="O758" t="n">
        <v>100</v>
      </c>
      <c r="P758" t="n">
        <v>2.6</v>
      </c>
    </row>
    <row r="759">
      <c r="A759" t="n">
        <v>828291</v>
      </c>
      <c r="B759" t="inlineStr">
        <is>
          <t>20-05-2026</t>
        </is>
      </c>
      <c r="C759" t="inlineStr">
        <is>
          <t>S123</t>
        </is>
      </c>
      <c r="D759" t="inlineStr">
        <is>
          <t>SKIDDER</t>
        </is>
      </c>
      <c r="E759" t="inlineStr">
        <is>
          <t>QUIRIQUINO</t>
        </is>
      </c>
      <c r="F759" t="inlineStr">
        <is>
          <t>PIRA</t>
        </is>
      </c>
      <c r="G759" t="n">
        <v>720</v>
      </c>
      <c r="H759" t="n">
        <v>0</v>
      </c>
      <c r="I759" t="n">
        <v>4</v>
      </c>
      <c r="J759" t="n">
        <v>19</v>
      </c>
      <c r="K759" t="n">
        <v>0</v>
      </c>
      <c r="L759" t="n">
        <v>10.08</v>
      </c>
      <c r="M759" t="n">
        <v>0</v>
      </c>
      <c r="N759" t="n">
        <v>420</v>
      </c>
      <c r="O759" t="n">
        <v>100</v>
      </c>
      <c r="P759" t="n">
        <v>2.52</v>
      </c>
    </row>
    <row r="760">
      <c r="A760" t="n">
        <v>828291</v>
      </c>
      <c r="B760" t="inlineStr">
        <is>
          <t>20-05-2026</t>
        </is>
      </c>
      <c r="C760" t="inlineStr">
        <is>
          <t>S123</t>
        </is>
      </c>
      <c r="D760" t="inlineStr">
        <is>
          <t>SKIDDER</t>
        </is>
      </c>
      <c r="E760" t="inlineStr">
        <is>
          <t>QUIRIQUINO</t>
        </is>
      </c>
      <c r="F760" t="inlineStr">
        <is>
          <t>PIRA</t>
        </is>
      </c>
      <c r="G760" t="n">
        <v>720</v>
      </c>
      <c r="H760" t="n">
        <v>0</v>
      </c>
      <c r="I760" t="n">
        <v>4</v>
      </c>
      <c r="J760" t="n">
        <v>19</v>
      </c>
      <c r="K760" t="n">
        <v>0</v>
      </c>
      <c r="L760" t="n">
        <v>0</v>
      </c>
      <c r="M760" t="n">
        <v>0</v>
      </c>
      <c r="N760" t="n">
        <v>420</v>
      </c>
      <c r="O760" t="n">
        <v>100</v>
      </c>
      <c r="P760" t="n">
        <v>0</v>
      </c>
    </row>
    <row r="761">
      <c r="A761" t="n">
        <v>828291</v>
      </c>
      <c r="B761" t="inlineStr">
        <is>
          <t>20-05-2026</t>
        </is>
      </c>
      <c r="C761" t="inlineStr">
        <is>
          <t>S123</t>
        </is>
      </c>
      <c r="D761" t="inlineStr">
        <is>
          <t>SKIDDER</t>
        </is>
      </c>
      <c r="E761" t="inlineStr">
        <is>
          <t>QUIRIQUINO</t>
        </is>
      </c>
      <c r="F761" t="inlineStr">
        <is>
          <t>PIRA</t>
        </is>
      </c>
      <c r="G761" t="n">
        <v>720</v>
      </c>
      <c r="H761" t="n">
        <v>0</v>
      </c>
      <c r="I761" t="n">
        <v>4</v>
      </c>
      <c r="J761" t="n">
        <v>19</v>
      </c>
      <c r="K761" t="n">
        <v>0</v>
      </c>
      <c r="L761" t="n">
        <v>26.79</v>
      </c>
      <c r="M761" t="n">
        <v>0</v>
      </c>
      <c r="N761" t="n">
        <v>420</v>
      </c>
      <c r="O761" t="n">
        <v>100</v>
      </c>
      <c r="P761" t="n">
        <v>6.7</v>
      </c>
    </row>
    <row r="762">
      <c r="A762" t="n">
        <v>828291</v>
      </c>
      <c r="B762" t="inlineStr">
        <is>
          <t>20-05-2026</t>
        </is>
      </c>
      <c r="C762" t="inlineStr">
        <is>
          <t>S123</t>
        </is>
      </c>
      <c r="D762" t="inlineStr">
        <is>
          <t>SKIDDER</t>
        </is>
      </c>
      <c r="E762" t="inlineStr">
        <is>
          <t>QUIRIQUINO</t>
        </is>
      </c>
      <c r="F762" t="inlineStr">
        <is>
          <t>PIRA</t>
        </is>
      </c>
      <c r="G762" t="n">
        <v>720</v>
      </c>
      <c r="H762" t="n">
        <v>0</v>
      </c>
      <c r="I762" t="n">
        <v>4</v>
      </c>
      <c r="J762" t="n">
        <v>19</v>
      </c>
      <c r="K762" t="n">
        <v>0</v>
      </c>
      <c r="L762" t="n">
        <v>53.39</v>
      </c>
      <c r="M762" t="n">
        <v>0</v>
      </c>
      <c r="N762" t="n">
        <v>420</v>
      </c>
      <c r="O762" t="n">
        <v>100</v>
      </c>
      <c r="P762" t="n">
        <v>13.35</v>
      </c>
    </row>
    <row r="763">
      <c r="A763" t="n">
        <v>828343</v>
      </c>
      <c r="B763" t="inlineStr">
        <is>
          <t>20-05-2026</t>
        </is>
      </c>
      <c r="C763" t="inlineStr">
        <is>
          <t>S58</t>
        </is>
      </c>
      <c r="D763" t="inlineStr">
        <is>
          <t>SKIDDER</t>
        </is>
      </c>
      <c r="E763" t="inlineStr">
        <is>
          <t>COIHUECO Y OTROS (BB)</t>
        </is>
      </c>
      <c r="F763" t="inlineStr">
        <is>
          <t>PIRA</t>
        </is>
      </c>
      <c r="G763" t="n">
        <v>720</v>
      </c>
      <c r="H763" t="n">
        <v>0</v>
      </c>
      <c r="I763" t="n">
        <v>9</v>
      </c>
      <c r="J763" t="n">
        <v>48</v>
      </c>
      <c r="K763" t="n">
        <v>0</v>
      </c>
      <c r="L763" t="n">
        <v>6.22</v>
      </c>
      <c r="M763" t="n">
        <v>0</v>
      </c>
      <c r="N763" t="n">
        <v>120</v>
      </c>
      <c r="O763" t="n">
        <v>100</v>
      </c>
      <c r="P763" t="n">
        <v>0.6899999999999999</v>
      </c>
    </row>
    <row r="764">
      <c r="A764" t="n">
        <v>828343</v>
      </c>
      <c r="B764" t="inlineStr">
        <is>
          <t>20-05-2026</t>
        </is>
      </c>
      <c r="C764" t="inlineStr">
        <is>
          <t>S58</t>
        </is>
      </c>
      <c r="D764" t="inlineStr">
        <is>
          <t>SKIDDER</t>
        </is>
      </c>
      <c r="E764" t="inlineStr">
        <is>
          <t>COIHUECO Y OTROS (BB)</t>
        </is>
      </c>
      <c r="F764" t="inlineStr">
        <is>
          <t>PIRA</t>
        </is>
      </c>
      <c r="G764" t="n">
        <v>720</v>
      </c>
      <c r="H764" t="n">
        <v>0</v>
      </c>
      <c r="I764" t="n">
        <v>9</v>
      </c>
      <c r="J764" t="n">
        <v>48</v>
      </c>
      <c r="K764" t="n">
        <v>0</v>
      </c>
      <c r="L764" t="n">
        <v>52.33</v>
      </c>
      <c r="M764" t="n">
        <v>0</v>
      </c>
      <c r="N764" t="n">
        <v>120</v>
      </c>
      <c r="O764" t="n">
        <v>100</v>
      </c>
      <c r="P764" t="n">
        <v>5.81</v>
      </c>
    </row>
    <row r="765">
      <c r="A765" t="n">
        <v>828343</v>
      </c>
      <c r="B765" t="inlineStr">
        <is>
          <t>20-05-2026</t>
        </is>
      </c>
      <c r="C765" t="inlineStr">
        <is>
          <t>S58</t>
        </is>
      </c>
      <c r="D765" t="inlineStr">
        <is>
          <t>SKIDDER</t>
        </is>
      </c>
      <c r="E765" t="inlineStr">
        <is>
          <t>COIHUECO Y OTROS (BB)</t>
        </is>
      </c>
      <c r="F765" t="inlineStr">
        <is>
          <t>PIRA</t>
        </is>
      </c>
      <c r="G765" t="n">
        <v>720</v>
      </c>
      <c r="H765" t="n">
        <v>0</v>
      </c>
      <c r="I765" t="n">
        <v>9</v>
      </c>
      <c r="J765" t="n">
        <v>48</v>
      </c>
      <c r="K765" t="n">
        <v>0</v>
      </c>
      <c r="L765" t="n">
        <v>13.4</v>
      </c>
      <c r="M765" t="n">
        <v>0</v>
      </c>
      <c r="N765" t="n">
        <v>120</v>
      </c>
      <c r="O765" t="n">
        <v>100</v>
      </c>
      <c r="P765" t="n">
        <v>1.49</v>
      </c>
    </row>
    <row r="766">
      <c r="A766" t="n">
        <v>828343</v>
      </c>
      <c r="B766" t="inlineStr">
        <is>
          <t>20-05-2026</t>
        </is>
      </c>
      <c r="C766" t="inlineStr">
        <is>
          <t>S58</t>
        </is>
      </c>
      <c r="D766" t="inlineStr">
        <is>
          <t>SKIDDER</t>
        </is>
      </c>
      <c r="E766" t="inlineStr">
        <is>
          <t>COIHUECO Y OTROS (BB)</t>
        </is>
      </c>
      <c r="F766" t="inlineStr">
        <is>
          <t>PIRA</t>
        </is>
      </c>
      <c r="G766" t="n">
        <v>720</v>
      </c>
      <c r="H766" t="n">
        <v>0</v>
      </c>
      <c r="I766" t="n">
        <v>9</v>
      </c>
      <c r="J766" t="n">
        <v>48</v>
      </c>
      <c r="K766" t="n">
        <v>0</v>
      </c>
      <c r="L766" t="n">
        <v>20.6</v>
      </c>
      <c r="M766" t="n">
        <v>0</v>
      </c>
      <c r="N766" t="n">
        <v>120</v>
      </c>
      <c r="O766" t="n">
        <v>100</v>
      </c>
      <c r="P766" t="n">
        <v>2.29</v>
      </c>
    </row>
    <row r="767">
      <c r="A767" t="n">
        <v>828343</v>
      </c>
      <c r="B767" t="inlineStr">
        <is>
          <t>20-05-2026</t>
        </is>
      </c>
      <c r="C767" t="inlineStr">
        <is>
          <t>S58</t>
        </is>
      </c>
      <c r="D767" t="inlineStr">
        <is>
          <t>SKIDDER</t>
        </is>
      </c>
      <c r="E767" t="inlineStr">
        <is>
          <t>COIHUECO Y OTROS (BB)</t>
        </is>
      </c>
      <c r="F767" t="inlineStr">
        <is>
          <t>PIRA</t>
        </is>
      </c>
      <c r="G767" t="n">
        <v>720</v>
      </c>
      <c r="H767" t="n">
        <v>0</v>
      </c>
      <c r="I767" t="n">
        <v>9</v>
      </c>
      <c r="J767" t="n">
        <v>48</v>
      </c>
      <c r="K767" t="n">
        <v>0</v>
      </c>
      <c r="L767" t="n">
        <v>40.98</v>
      </c>
      <c r="M767" t="n">
        <v>0</v>
      </c>
      <c r="N767" t="n">
        <v>120</v>
      </c>
      <c r="O767" t="n">
        <v>100</v>
      </c>
      <c r="P767" t="n">
        <v>4.55</v>
      </c>
    </row>
    <row r="768">
      <c r="A768" t="n">
        <v>828343</v>
      </c>
      <c r="B768" t="inlineStr">
        <is>
          <t>20-05-2026</t>
        </is>
      </c>
      <c r="C768" t="inlineStr">
        <is>
          <t>S58</t>
        </is>
      </c>
      <c r="D768" t="inlineStr">
        <is>
          <t>SKIDDER</t>
        </is>
      </c>
      <c r="E768" t="inlineStr">
        <is>
          <t>COIHUECO Y OTROS (BB)</t>
        </is>
      </c>
      <c r="F768" t="inlineStr">
        <is>
          <t>PIRA</t>
        </is>
      </c>
      <c r="G768" t="n">
        <v>720</v>
      </c>
      <c r="H768" t="n">
        <v>0</v>
      </c>
      <c r="I768" t="n">
        <v>9</v>
      </c>
      <c r="J768" t="n">
        <v>48</v>
      </c>
      <c r="K768" t="n">
        <v>0</v>
      </c>
      <c r="L768" t="n">
        <v>17.67</v>
      </c>
      <c r="M768" t="n">
        <v>0</v>
      </c>
      <c r="N768" t="n">
        <v>120</v>
      </c>
      <c r="O768" t="n">
        <v>100</v>
      </c>
      <c r="P768" t="n">
        <v>1.96</v>
      </c>
    </row>
    <row r="769">
      <c r="A769" t="n">
        <v>828343</v>
      </c>
      <c r="B769" t="inlineStr">
        <is>
          <t>20-05-2026</t>
        </is>
      </c>
      <c r="C769" t="inlineStr">
        <is>
          <t>S58</t>
        </is>
      </c>
      <c r="D769" t="inlineStr">
        <is>
          <t>SKIDDER</t>
        </is>
      </c>
      <c r="E769" t="inlineStr">
        <is>
          <t>COIHUECO Y OTROS (BB)</t>
        </is>
      </c>
      <c r="F769" t="inlineStr">
        <is>
          <t>PIRA</t>
        </is>
      </c>
      <c r="G769" t="n">
        <v>720</v>
      </c>
      <c r="H769" t="n">
        <v>0</v>
      </c>
      <c r="I769" t="n">
        <v>9</v>
      </c>
      <c r="J769" t="n">
        <v>48</v>
      </c>
      <c r="K769" t="n">
        <v>0</v>
      </c>
      <c r="L769" t="n">
        <v>23.94</v>
      </c>
      <c r="M769" t="n">
        <v>0</v>
      </c>
      <c r="N769" t="n">
        <v>120</v>
      </c>
      <c r="O769" t="n">
        <v>100</v>
      </c>
      <c r="P769" t="n">
        <v>2.66</v>
      </c>
    </row>
    <row r="770">
      <c r="A770" t="n">
        <v>828350</v>
      </c>
      <c r="B770" t="inlineStr">
        <is>
          <t>20-05-2026</t>
        </is>
      </c>
      <c r="C770" t="inlineStr">
        <is>
          <t>T125</t>
        </is>
      </c>
      <c r="D770" t="inlineStr">
        <is>
          <t>TORRE500</t>
        </is>
      </c>
      <c r="E770" t="inlineStr">
        <is>
          <t>POLHUIN</t>
        </is>
      </c>
      <c r="F770" t="inlineStr">
        <is>
          <t>PIRA</t>
        </is>
      </c>
      <c r="G770" t="n">
        <v>420</v>
      </c>
      <c r="H770" t="n">
        <v>0</v>
      </c>
      <c r="I770" t="n">
        <v>4</v>
      </c>
      <c r="J770" t="n">
        <v>80</v>
      </c>
      <c r="K770" t="n">
        <v>0</v>
      </c>
      <c r="L770" t="n">
        <v>23.14</v>
      </c>
      <c r="M770" t="n">
        <v>0</v>
      </c>
      <c r="N770" t="n">
        <v>120</v>
      </c>
      <c r="O770" t="n">
        <v>100</v>
      </c>
      <c r="P770" t="n">
        <v>5.79</v>
      </c>
    </row>
    <row r="771">
      <c r="A771" t="n">
        <v>828350</v>
      </c>
      <c r="B771" t="inlineStr">
        <is>
          <t>20-05-2026</t>
        </is>
      </c>
      <c r="C771" t="inlineStr">
        <is>
          <t>T125</t>
        </is>
      </c>
      <c r="D771" t="inlineStr">
        <is>
          <t>TORRE500</t>
        </is>
      </c>
      <c r="E771" t="inlineStr">
        <is>
          <t>POLHUIN</t>
        </is>
      </c>
      <c r="F771" t="inlineStr">
        <is>
          <t>PIRA</t>
        </is>
      </c>
      <c r="G771" t="n">
        <v>420</v>
      </c>
      <c r="H771" t="n">
        <v>0</v>
      </c>
      <c r="I771" t="n">
        <v>4</v>
      </c>
      <c r="J771" t="n">
        <v>80</v>
      </c>
      <c r="K771" t="n">
        <v>0</v>
      </c>
      <c r="L771" t="n">
        <v>56.02</v>
      </c>
      <c r="M771" t="n">
        <v>0</v>
      </c>
      <c r="N771" t="n">
        <v>120</v>
      </c>
      <c r="O771" t="n">
        <v>100</v>
      </c>
      <c r="P771" t="n">
        <v>14.01</v>
      </c>
    </row>
    <row r="772">
      <c r="A772" t="n">
        <v>828350</v>
      </c>
      <c r="B772" t="inlineStr">
        <is>
          <t>20-05-2026</t>
        </is>
      </c>
      <c r="C772" t="inlineStr">
        <is>
          <t>T125</t>
        </is>
      </c>
      <c r="D772" t="inlineStr">
        <is>
          <t>TORRE500</t>
        </is>
      </c>
      <c r="E772" t="inlineStr">
        <is>
          <t>POLHUIN</t>
        </is>
      </c>
      <c r="F772" t="inlineStr">
        <is>
          <t>PIRA</t>
        </is>
      </c>
      <c r="G772" t="n">
        <v>420</v>
      </c>
      <c r="H772" t="n">
        <v>0</v>
      </c>
      <c r="I772" t="n">
        <v>4</v>
      </c>
      <c r="J772" t="n">
        <v>80</v>
      </c>
      <c r="K772" t="n">
        <v>0</v>
      </c>
      <c r="L772" t="n">
        <v>47.36</v>
      </c>
      <c r="M772" t="n">
        <v>0</v>
      </c>
      <c r="N772" t="n">
        <v>120</v>
      </c>
      <c r="O772" t="n">
        <v>100</v>
      </c>
      <c r="P772" t="n">
        <v>11.84</v>
      </c>
    </row>
    <row r="773">
      <c r="A773" t="n">
        <v>828351</v>
      </c>
      <c r="B773" t="inlineStr">
        <is>
          <t>20-05-2026</t>
        </is>
      </c>
      <c r="C773" t="inlineStr">
        <is>
          <t>T125</t>
        </is>
      </c>
      <c r="D773" t="inlineStr">
        <is>
          <t>TORRE500</t>
        </is>
      </c>
      <c r="E773" t="inlineStr">
        <is>
          <t>POLHUIN</t>
        </is>
      </c>
      <c r="F773" t="inlineStr">
        <is>
          <t>EUGL</t>
        </is>
      </c>
      <c r="G773" t="n">
        <v>240</v>
      </c>
      <c r="H773" t="n">
        <v>0</v>
      </c>
      <c r="I773" t="n">
        <v>4</v>
      </c>
      <c r="J773" t="n">
        <v>142</v>
      </c>
      <c r="K773" t="n">
        <v>0</v>
      </c>
      <c r="L773" t="n">
        <v>12.59</v>
      </c>
      <c r="M773" t="n">
        <v>0</v>
      </c>
      <c r="N773" t="n">
        <v>0</v>
      </c>
      <c r="O773" t="n">
        <v>100</v>
      </c>
      <c r="P773" t="n">
        <v>3.15</v>
      </c>
    </row>
    <row r="774">
      <c r="A774" t="n">
        <v>828351</v>
      </c>
      <c r="B774" t="inlineStr">
        <is>
          <t>20-05-2026</t>
        </is>
      </c>
      <c r="C774" t="inlineStr">
        <is>
          <t>T125</t>
        </is>
      </c>
      <c r="D774" t="inlineStr">
        <is>
          <t>TORRE500</t>
        </is>
      </c>
      <c r="E774" t="inlineStr">
        <is>
          <t>POLHUIN</t>
        </is>
      </c>
      <c r="F774" t="inlineStr">
        <is>
          <t>EUGL</t>
        </is>
      </c>
      <c r="G774" t="n">
        <v>240</v>
      </c>
      <c r="H774" t="n">
        <v>0</v>
      </c>
      <c r="I774" t="n">
        <v>4</v>
      </c>
      <c r="J774" t="n">
        <v>142</v>
      </c>
      <c r="K774" t="n">
        <v>0</v>
      </c>
      <c r="L774" t="n">
        <v>241.89</v>
      </c>
      <c r="M774" t="n">
        <v>0</v>
      </c>
      <c r="N774" t="n">
        <v>0</v>
      </c>
      <c r="O774" t="n">
        <v>100</v>
      </c>
      <c r="P774" t="n">
        <v>60.47</v>
      </c>
    </row>
    <row r="775">
      <c r="A775" t="n">
        <v>828365</v>
      </c>
      <c r="B775" t="inlineStr">
        <is>
          <t>20-05-2026</t>
        </is>
      </c>
      <c r="C775" t="inlineStr">
        <is>
          <t>S223</t>
        </is>
      </c>
      <c r="D775" t="inlineStr">
        <is>
          <t>SKIDDER</t>
        </is>
      </c>
      <c r="E775" t="inlineStr">
        <is>
          <t>LAS ULLOAS (BB)</t>
        </is>
      </c>
      <c r="F775" t="inlineStr">
        <is>
          <t>PIRA</t>
        </is>
      </c>
      <c r="G775" t="n">
        <v>720</v>
      </c>
      <c r="H775" t="n">
        <v>0</v>
      </c>
      <c r="I775" t="n">
        <v>5</v>
      </c>
      <c r="J775" t="n">
        <v>40</v>
      </c>
      <c r="K775" t="n">
        <v>0</v>
      </c>
      <c r="L775" t="n">
        <v>5.33</v>
      </c>
      <c r="M775" t="n">
        <v>360</v>
      </c>
      <c r="N775" t="n">
        <v>360</v>
      </c>
      <c r="O775" t="n">
        <v>99.2</v>
      </c>
      <c r="P775" t="n">
        <v>1.07</v>
      </c>
    </row>
    <row r="776">
      <c r="A776" t="n">
        <v>828365</v>
      </c>
      <c r="B776" t="inlineStr">
        <is>
          <t>20-05-2026</t>
        </is>
      </c>
      <c r="C776" t="inlineStr">
        <is>
          <t>S223</t>
        </is>
      </c>
      <c r="D776" t="inlineStr">
        <is>
          <t>SKIDDER</t>
        </is>
      </c>
      <c r="E776" t="inlineStr">
        <is>
          <t>LAS ULLOAS (BB)</t>
        </is>
      </c>
      <c r="F776" t="inlineStr">
        <is>
          <t>PIRA</t>
        </is>
      </c>
      <c r="G776" t="n">
        <v>720</v>
      </c>
      <c r="H776" t="n">
        <v>0</v>
      </c>
      <c r="I776" t="n">
        <v>5</v>
      </c>
      <c r="J776" t="n">
        <v>40</v>
      </c>
      <c r="K776" t="n">
        <v>0</v>
      </c>
      <c r="L776" t="n">
        <v>17.33</v>
      </c>
      <c r="M776" t="n">
        <v>360</v>
      </c>
      <c r="N776" t="n">
        <v>360</v>
      </c>
      <c r="O776" t="n">
        <v>99.2</v>
      </c>
      <c r="P776" t="n">
        <v>3.47</v>
      </c>
    </row>
    <row r="777">
      <c r="A777" t="n">
        <v>828365</v>
      </c>
      <c r="B777" t="inlineStr">
        <is>
          <t>20-05-2026</t>
        </is>
      </c>
      <c r="C777" t="inlineStr">
        <is>
          <t>S223</t>
        </is>
      </c>
      <c r="D777" t="inlineStr">
        <is>
          <t>SKIDDER</t>
        </is>
      </c>
      <c r="E777" t="inlineStr">
        <is>
          <t>LAS ULLOAS (BB)</t>
        </is>
      </c>
      <c r="F777" t="inlineStr">
        <is>
          <t>PIRA</t>
        </is>
      </c>
      <c r="G777" t="n">
        <v>720</v>
      </c>
      <c r="H777" t="n">
        <v>0</v>
      </c>
      <c r="I777" t="n">
        <v>5</v>
      </c>
      <c r="J777" t="n">
        <v>40</v>
      </c>
      <c r="K777" t="n">
        <v>0</v>
      </c>
      <c r="L777" t="n">
        <v>12.96</v>
      </c>
      <c r="M777" t="n">
        <v>360</v>
      </c>
      <c r="N777" t="n">
        <v>360</v>
      </c>
      <c r="O777" t="n">
        <v>99.2</v>
      </c>
      <c r="P777" t="n">
        <v>2.59</v>
      </c>
    </row>
    <row r="778">
      <c r="A778" t="n">
        <v>828365</v>
      </c>
      <c r="B778" t="inlineStr">
        <is>
          <t>20-05-2026</t>
        </is>
      </c>
      <c r="C778" t="inlineStr">
        <is>
          <t>S223</t>
        </is>
      </c>
      <c r="D778" t="inlineStr">
        <is>
          <t>SKIDDER</t>
        </is>
      </c>
      <c r="E778" t="inlineStr">
        <is>
          <t>LAS ULLOAS (BB)</t>
        </is>
      </c>
      <c r="F778" t="inlineStr">
        <is>
          <t>PIRA</t>
        </is>
      </c>
      <c r="G778" t="n">
        <v>720</v>
      </c>
      <c r="H778" t="n">
        <v>0</v>
      </c>
      <c r="I778" t="n">
        <v>5</v>
      </c>
      <c r="J778" t="n">
        <v>40</v>
      </c>
      <c r="K778" t="n">
        <v>0</v>
      </c>
      <c r="L778" t="n">
        <v>58.88</v>
      </c>
      <c r="M778" t="n">
        <v>360</v>
      </c>
      <c r="N778" t="n">
        <v>360</v>
      </c>
      <c r="O778" t="n">
        <v>99.2</v>
      </c>
      <c r="P778" t="n">
        <v>11.78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0"/>
  <sheetViews>
    <sheetView showGridLines="0" zoomScaleNormal="100" workbookViewId="0">
      <pane ySplit="2" topLeftCell="A3" activePane="bottomLeft" state="frozen"/>
      <selection pane="bottomLeft" activeCell="K20" sqref="K20"/>
    </sheetView>
  </sheetViews>
  <sheetFormatPr baseColWidth="10" defaultColWidth="8.6640625" defaultRowHeight="15"/>
  <cols>
    <col width="12" customWidth="1" style="150" min="1" max="1"/>
    <col width="10" customWidth="1" style="150" min="2" max="3"/>
    <col width="8" customWidth="1" style="150" min="4" max="4"/>
    <col width="35" customWidth="1" style="150" min="5" max="5"/>
    <col width="18" customWidth="1" style="150" min="6" max="6"/>
    <col width="12" customWidth="1" style="150" min="7" max="7"/>
    <col width="35" customWidth="1" style="150" min="8" max="8"/>
  </cols>
  <sheetData>
    <row r="1" ht="27.75" customHeight="1" s="150">
      <c r="A1" s="32" t="inlineStr">
        <is>
          <t>REGISTRO DE TIEMPOS PERDIDOS — CLASIFICADO</t>
        </is>
      </c>
    </row>
    <row r="2" ht="19.5" customHeight="1" s="150">
      <c r="A2" s="9" t="inlineStr">
        <is>
          <t>Fecha</t>
        </is>
      </c>
      <c r="B2" s="9" t="inlineStr">
        <is>
          <t>N° NOC</t>
        </is>
      </c>
      <c r="C2" s="9" t="inlineStr">
        <is>
          <t>Equipo</t>
        </is>
      </c>
      <c r="D2" s="9" t="inlineStr">
        <is>
          <t>Cód. TM</t>
        </is>
      </c>
      <c r="E2" s="9" t="inlineStr">
        <is>
          <t>Descripción</t>
        </is>
      </c>
      <c r="F2" s="9" t="inlineStr">
        <is>
          <t>Clasificación</t>
        </is>
      </c>
      <c r="G2" s="9" t="inlineStr">
        <is>
          <t>Tiempo (min)</t>
        </is>
      </c>
      <c r="H2" s="9" t="inlineStr">
        <is>
          <t>Observación</t>
        </is>
      </c>
    </row>
    <row r="3" ht="15.75" customHeight="1" s="150">
      <c r="A3" s="112" t="inlineStr">
        <is>
          <t>01-05-2026</t>
        </is>
      </c>
      <c r="B3" s="112" t="n">
        <v>825860</v>
      </c>
      <c r="C3" s="112" t="inlineStr">
        <is>
          <t>MG5</t>
        </is>
      </c>
      <c r="D3" s="112" t="n">
        <v>42</v>
      </c>
      <c r="E3" s="118" t="inlineStr">
        <is>
          <t>Descanso/Pausa programada</t>
        </is>
      </c>
      <c r="F3" s="119" t="inlineStr">
        <is>
          <t>Proceso</t>
        </is>
      </c>
      <c r="G3" s="120" t="n">
        <v>660</v>
      </c>
      <c r="H3" s="121" t="inlineStr">
        <is>
          <t>Feriado 1ro de Mayo, no se trabajo.</t>
        </is>
      </c>
    </row>
    <row r="4" ht="15.75" customHeight="1" s="150">
      <c r="A4" s="115" t="inlineStr">
        <is>
          <t>01-05-2026</t>
        </is>
      </c>
      <c r="B4" s="115" t="n">
        <v>825861</v>
      </c>
      <c r="C4" s="115" t="inlineStr">
        <is>
          <t>T125</t>
        </is>
      </c>
      <c r="D4" s="115" t="n">
        <v>42</v>
      </c>
      <c r="E4" s="122" t="inlineStr">
        <is>
          <t>Descanso/Pausa programada</t>
        </is>
      </c>
      <c r="F4" s="123" t="inlineStr">
        <is>
          <t>Proceso</t>
        </is>
      </c>
      <c r="G4" s="124" t="n">
        <v>660</v>
      </c>
      <c r="H4" s="125" t="inlineStr">
        <is>
          <t>Feriado 1ro de Mayo, no se trabajo.</t>
        </is>
      </c>
    </row>
    <row r="5">
      <c r="A5" t="inlineStr">
        <is>
          <t>01-05-2026</t>
        </is>
      </c>
      <c r="B5" t="n">
        <v>825863</v>
      </c>
      <c r="C5" t="inlineStr">
        <is>
          <t>TEA02</t>
        </is>
      </c>
      <c r="D5" t="n">
        <v>42</v>
      </c>
      <c r="E5" t="inlineStr">
        <is>
          <t>Descanso/Pausa programada</t>
        </is>
      </c>
      <c r="F5" t="inlineStr">
        <is>
          <t>Proceso</t>
        </is>
      </c>
      <c r="G5" t="n">
        <v>660</v>
      </c>
      <c r="H5" t="inlineStr">
        <is>
          <t>Feriado 1ro de Mayo, no se trabajo.</t>
        </is>
      </c>
    </row>
    <row r="6">
      <c r="A6" t="inlineStr">
        <is>
          <t>02-05-2026</t>
        </is>
      </c>
      <c r="B6" t="n">
        <v>825876</v>
      </c>
      <c r="C6" t="inlineStr">
        <is>
          <t>S123</t>
        </is>
      </c>
      <c r="D6" t="n">
        <v>43</v>
      </c>
      <c r="E6" t="inlineStr">
        <is>
          <t>Colacion</t>
        </is>
      </c>
      <c r="F6" t="inlineStr">
        <is>
          <t>Proceso</t>
        </is>
      </c>
      <c r="G6" t="n">
        <v>30</v>
      </c>
      <c r="H6" t="inlineStr">
        <is>
          <t>Colacion</t>
        </is>
      </c>
    </row>
    <row r="7" ht="15" customHeight="1" s="150">
      <c r="A7" s="274" t="inlineStr">
        <is>
          <t>02-05-2026</t>
        </is>
      </c>
      <c r="B7" t="n">
        <v>825876</v>
      </c>
      <c r="C7" t="inlineStr">
        <is>
          <t>S123</t>
        </is>
      </c>
      <c r="D7" t="n">
        <v>17</v>
      </c>
      <c r="E7" t="inlineStr">
        <is>
          <t>Falta de trozado</t>
        </is>
      </c>
      <c r="F7" t="inlineStr">
        <is>
          <t>Operacional</t>
        </is>
      </c>
      <c r="G7" t="n">
        <v>30</v>
      </c>
      <c r="H7" t="inlineStr">
        <is>
          <t>Afilado de cadena</t>
        </is>
      </c>
    </row>
    <row r="8" ht="15" customHeight="1" s="150">
      <c r="A8" s="33" t="inlineStr">
        <is>
          <t>02-05-2026</t>
        </is>
      </c>
      <c r="B8" s="34" t="n">
        <v>825877</v>
      </c>
      <c r="C8" t="inlineStr">
        <is>
          <t>S123</t>
        </is>
      </c>
      <c r="D8" t="n">
        <v>17</v>
      </c>
      <c r="E8" t="inlineStr">
        <is>
          <t>Falta de trozado</t>
        </is>
      </c>
      <c r="F8" t="inlineStr">
        <is>
          <t>Operacional</t>
        </is>
      </c>
      <c r="G8" t="n">
        <v>30</v>
      </c>
      <c r="H8" t="inlineStr">
        <is>
          <t>Afilado de cadena</t>
        </is>
      </c>
    </row>
    <row r="9" ht="15" customHeight="1" s="150">
      <c r="A9" s="35" t="inlineStr">
        <is>
          <t>02-05-2026</t>
        </is>
      </c>
      <c r="B9" s="34" t="n">
        <v>825895</v>
      </c>
      <c r="C9" t="inlineStr">
        <is>
          <t>MG5</t>
        </is>
      </c>
      <c r="D9" t="n">
        <v>4</v>
      </c>
      <c r="E9" t="inlineStr">
        <is>
          <t>Reparacion/Falla equipo de Trozado</t>
        </is>
      </c>
      <c r="F9" t="inlineStr">
        <is>
          <t>Mantención</t>
        </is>
      </c>
      <c r="G9" t="n">
        <v>360</v>
      </c>
      <c r="H9" t="inlineStr">
        <is>
          <t>Falla de cañería se saca y se manda a reparar a taller</t>
        </is>
      </c>
    </row>
    <row r="10" ht="15" customHeight="1" s="150">
      <c r="A10" s="36" t="inlineStr">
        <is>
          <t>02-05-2026</t>
        </is>
      </c>
      <c r="B10" s="34" t="n">
        <v>825903</v>
      </c>
      <c r="C10" t="inlineStr">
        <is>
          <t>TEA08</t>
        </is>
      </c>
      <c r="D10" t="n">
        <v>4</v>
      </c>
      <c r="E10" t="inlineStr">
        <is>
          <t>Reparacion/Falla equipo de Trozado</t>
        </is>
      </c>
      <c r="F10" t="inlineStr">
        <is>
          <t>Mantención</t>
        </is>
      </c>
      <c r="G10" t="n">
        <v>660</v>
      </c>
      <c r="H10" t="inlineStr">
        <is>
          <t>Procesador en pane por robo de piezas del cabezal</t>
        </is>
      </c>
    </row>
    <row r="11">
      <c r="A11" t="inlineStr">
        <is>
          <t>02-05-2026</t>
        </is>
      </c>
      <c r="B11" t="n">
        <v>825904</v>
      </c>
      <c r="C11" t="inlineStr">
        <is>
          <t>TEA02</t>
        </is>
      </c>
      <c r="D11" t="n">
        <v>42</v>
      </c>
      <c r="E11" t="inlineStr">
        <is>
          <t>Descanso/Pausa programada</t>
        </is>
      </c>
      <c r="F11" t="inlineStr">
        <is>
          <t>Proceso</t>
        </is>
      </c>
      <c r="G11" t="n">
        <v>30</v>
      </c>
      <c r="H11" t="inlineStr">
        <is>
          <t>Pausa activa</t>
        </is>
      </c>
    </row>
    <row r="12">
      <c r="A12" t="inlineStr">
        <is>
          <t>02-05-2026</t>
        </is>
      </c>
      <c r="B12" t="n">
        <v>825918</v>
      </c>
      <c r="C12" t="inlineStr">
        <is>
          <t>S246</t>
        </is>
      </c>
      <c r="D12" t="n">
        <v>4</v>
      </c>
      <c r="E12" t="inlineStr">
        <is>
          <t>Reparacion/Falla equipo de Trozado</t>
        </is>
      </c>
      <c r="F12" t="inlineStr">
        <is>
          <t>Mantención</t>
        </is>
      </c>
      <c r="G12" t="n">
        <v>600</v>
      </c>
      <c r="H12" t="inlineStr"/>
    </row>
    <row r="13">
      <c r="A13" t="inlineStr">
        <is>
          <t>02-05-2026</t>
        </is>
      </c>
      <c r="B13" t="n">
        <v>825924</v>
      </c>
      <c r="C13" t="inlineStr">
        <is>
          <t>S223</t>
        </is>
      </c>
      <c r="D13" t="n">
        <v>1</v>
      </c>
      <c r="E13" t="inlineStr">
        <is>
          <t>Reparacion/Falla equipo de volteo</t>
        </is>
      </c>
      <c r="F13" t="inlineStr">
        <is>
          <t>Mantención</t>
        </is>
      </c>
      <c r="G13" t="n">
        <v>300</v>
      </c>
      <c r="H13" t="inlineStr"/>
    </row>
    <row r="14">
      <c r="A14" t="inlineStr">
        <is>
          <t>02-05-2026</t>
        </is>
      </c>
      <c r="B14" t="n">
        <v>825939</v>
      </c>
      <c r="C14" t="inlineStr">
        <is>
          <t>T125</t>
        </is>
      </c>
      <c r="D14" t="n">
        <v>25</v>
      </c>
      <c r="E14" t="inlineStr">
        <is>
          <t>Instalacion de torre (vientos/ soportes)</t>
        </is>
      </c>
      <c r="F14" t="inlineStr">
        <is>
          <t>Operacional</t>
        </is>
      </c>
      <c r="G14" t="n">
        <v>120</v>
      </c>
      <c r="H14" t="inlineStr"/>
    </row>
    <row r="15">
      <c r="A15" t="inlineStr">
        <is>
          <t>02-05-2026</t>
        </is>
      </c>
      <c r="B15" t="n">
        <v>825946</v>
      </c>
      <c r="C15" t="inlineStr">
        <is>
          <t>S58</t>
        </is>
      </c>
      <c r="D15" t="n">
        <v>20</v>
      </c>
      <c r="E15" t="inlineStr">
        <is>
          <t>Falta/abstecimiento de combustible equipo de volte</t>
        </is>
      </c>
      <c r="F15" t="inlineStr">
        <is>
          <t>Operacional</t>
        </is>
      </c>
      <c r="G15" t="n">
        <v>120</v>
      </c>
      <c r="H15" t="inlineStr">
        <is>
          <t>Fslts combustible se csrgan los ewuipo con menos combudtible psra evitar rrobo</t>
        </is>
      </c>
    </row>
    <row r="16">
      <c r="A16" t="inlineStr">
        <is>
          <t>03-05-2026</t>
        </is>
      </c>
      <c r="B16" t="n">
        <v>826002</v>
      </c>
      <c r="C16" t="inlineStr">
        <is>
          <t>S123</t>
        </is>
      </c>
      <c r="D16" t="n">
        <v>1</v>
      </c>
      <c r="E16" t="inlineStr">
        <is>
          <t>Reparacion/Falla equipo de volteo</t>
        </is>
      </c>
      <c r="F16" t="inlineStr">
        <is>
          <t>Mantención</t>
        </is>
      </c>
      <c r="G16" t="n">
        <v>120</v>
      </c>
      <c r="H16" t="inlineStr">
        <is>
          <t>Falla equipo de volteo</t>
        </is>
      </c>
    </row>
    <row r="17">
      <c r="A17" t="inlineStr">
        <is>
          <t>03-05-2026</t>
        </is>
      </c>
      <c r="B17" t="n">
        <v>826003</v>
      </c>
      <c r="C17" t="inlineStr">
        <is>
          <t>S123</t>
        </is>
      </c>
      <c r="D17" t="n">
        <v>1</v>
      </c>
      <c r="E17" t="inlineStr">
        <is>
          <t>Reparacion/Falla equipo de volteo</t>
        </is>
      </c>
      <c r="F17" t="inlineStr">
        <is>
          <t>Mantención</t>
        </is>
      </c>
      <c r="G17" t="n">
        <v>60</v>
      </c>
      <c r="H17" t="inlineStr">
        <is>
          <t>Reparaxion equipo de volteo</t>
        </is>
      </c>
    </row>
    <row r="18">
      <c r="A18" t="inlineStr">
        <is>
          <t>03-05-2026</t>
        </is>
      </c>
      <c r="B18" t="n">
        <v>826006</v>
      </c>
      <c r="C18" t="inlineStr">
        <is>
          <t>T125</t>
        </is>
      </c>
      <c r="D18" t="n">
        <v>2</v>
      </c>
      <c r="E18" t="inlineStr">
        <is>
          <t>Reparacion/Falla de equipo de madereo</t>
        </is>
      </c>
      <c r="F18" t="inlineStr">
        <is>
          <t>Mantención</t>
        </is>
      </c>
      <c r="G18" t="n">
        <v>60</v>
      </c>
      <c r="H18" t="inlineStr"/>
    </row>
    <row r="19">
      <c r="A19" t="inlineStr">
        <is>
          <t>03-05-2026</t>
        </is>
      </c>
      <c r="B19" t="n">
        <v>826013</v>
      </c>
      <c r="C19" t="inlineStr">
        <is>
          <t>T125</t>
        </is>
      </c>
      <c r="D19" t="n">
        <v>2</v>
      </c>
      <c r="E19" t="inlineStr">
        <is>
          <t>Reparacion/Falla de equipo de madereo</t>
        </is>
      </c>
      <c r="F19" t="inlineStr">
        <is>
          <t>Mantención</t>
        </is>
      </c>
      <c r="G19" t="n">
        <v>60</v>
      </c>
      <c r="H19" t="inlineStr"/>
    </row>
    <row r="20">
      <c r="A20" t="inlineStr">
        <is>
          <t>03-05-2026</t>
        </is>
      </c>
      <c r="B20" t="n">
        <v>826024</v>
      </c>
      <c r="C20" t="inlineStr">
        <is>
          <t>TEA02</t>
        </is>
      </c>
      <c r="D20" t="n">
        <v>42</v>
      </c>
      <c r="E20" t="inlineStr">
        <is>
          <t>Descanso/Pausa programada</t>
        </is>
      </c>
      <c r="F20" t="inlineStr">
        <is>
          <t>Proceso</t>
        </is>
      </c>
      <c r="G20" t="n">
        <v>30</v>
      </c>
      <c r="H20" t="inlineStr">
        <is>
          <t>Pausa activa</t>
        </is>
      </c>
    </row>
    <row r="21">
      <c r="A21" t="inlineStr">
        <is>
          <t>03-05-2026</t>
        </is>
      </c>
      <c r="B21" t="n">
        <v>826028</v>
      </c>
      <c r="C21" t="inlineStr">
        <is>
          <t>S246</t>
        </is>
      </c>
      <c r="D21" t="n">
        <v>4</v>
      </c>
      <c r="E21" t="inlineStr">
        <is>
          <t>Reparacion/Falla equipo de Trozado</t>
        </is>
      </c>
      <c r="F21" t="inlineStr">
        <is>
          <t>Mantención</t>
        </is>
      </c>
      <c r="G21" t="n">
        <v>600</v>
      </c>
      <c r="H21" t="inlineStr"/>
    </row>
    <row r="22">
      <c r="A22" t="inlineStr">
        <is>
          <t>03-05-2026</t>
        </is>
      </c>
      <c r="B22" t="n">
        <v>826046</v>
      </c>
      <c r="C22" t="inlineStr">
        <is>
          <t>S223</t>
        </is>
      </c>
      <c r="D22" t="n">
        <v>4</v>
      </c>
      <c r="E22" t="inlineStr">
        <is>
          <t>Reparacion/Falla equipo de Trozado</t>
        </is>
      </c>
      <c r="F22" t="inlineStr">
        <is>
          <t>Mantención</t>
        </is>
      </c>
      <c r="G22" t="n">
        <v>240</v>
      </c>
      <c r="H22" t="inlineStr"/>
    </row>
    <row r="23">
      <c r="A23" t="inlineStr">
        <is>
          <t>03-05-2026</t>
        </is>
      </c>
      <c r="B23" t="n">
        <v>826057</v>
      </c>
      <c r="C23" t="inlineStr">
        <is>
          <t>TEA08</t>
        </is>
      </c>
      <c r="D23" t="n">
        <v>4</v>
      </c>
      <c r="E23" t="inlineStr">
        <is>
          <t>Reparacion/Falla equipo de Trozado</t>
        </is>
      </c>
      <c r="F23" t="inlineStr">
        <is>
          <t>Mantención</t>
        </is>
      </c>
      <c r="G23" t="n">
        <v>660</v>
      </c>
      <c r="H23" t="inlineStr">
        <is>
          <t>Robo de piezas al procesador</t>
        </is>
      </c>
    </row>
    <row r="24">
      <c r="A24" t="inlineStr">
        <is>
          <t>03-05-2026</t>
        </is>
      </c>
      <c r="B24" t="n">
        <v>826060</v>
      </c>
      <c r="C24" t="inlineStr">
        <is>
          <t>S58</t>
        </is>
      </c>
      <c r="D24" t="n">
        <v>20</v>
      </c>
      <c r="E24" t="inlineStr">
        <is>
          <t>Falta/abstecimiento de combustible equipo de volte</t>
        </is>
      </c>
      <c r="F24" t="inlineStr">
        <is>
          <t>Operacional</t>
        </is>
      </c>
      <c r="G24" t="n">
        <v>120</v>
      </c>
      <c r="H24" t="inlineStr">
        <is>
          <t>Fslta d3 combustible</t>
        </is>
      </c>
    </row>
    <row r="25">
      <c r="A25" t="inlineStr">
        <is>
          <t>04-05-2026</t>
        </is>
      </c>
      <c r="B25" t="n">
        <v>826169</v>
      </c>
      <c r="C25" t="inlineStr">
        <is>
          <t>S223</t>
        </is>
      </c>
      <c r="D25" t="n">
        <v>32</v>
      </c>
      <c r="E25" t="inlineStr">
        <is>
          <t>Carguio de camiones</t>
        </is>
      </c>
      <c r="F25" t="inlineStr">
        <is>
          <t>Operacional</t>
        </is>
      </c>
      <c r="G25" t="n">
        <v>120</v>
      </c>
      <c r="H25" t="inlineStr"/>
    </row>
    <row r="26">
      <c r="A26" t="inlineStr">
        <is>
          <t>04-05-2026</t>
        </is>
      </c>
      <c r="B26" t="n">
        <v>826187</v>
      </c>
      <c r="C26" t="inlineStr">
        <is>
          <t>S123</t>
        </is>
      </c>
      <c r="D26" t="n">
        <v>5</v>
      </c>
      <c r="E26" t="inlineStr">
        <is>
          <t>Reparacion/Falla de equipo de clasificado/carguio</t>
        </is>
      </c>
      <c r="F26" t="inlineStr">
        <is>
          <t>Mantención</t>
        </is>
      </c>
      <c r="G26" t="n">
        <v>30</v>
      </c>
      <c r="H26" t="inlineStr">
        <is>
          <t>Reparacion falla equipo de clasificado</t>
        </is>
      </c>
    </row>
    <row r="27">
      <c r="A27" t="inlineStr">
        <is>
          <t>04-05-2026</t>
        </is>
      </c>
      <c r="B27" t="n">
        <v>826188</v>
      </c>
      <c r="C27" t="inlineStr">
        <is>
          <t>S123</t>
        </is>
      </c>
      <c r="D27" t="n">
        <v>5</v>
      </c>
      <c r="E27" t="inlineStr">
        <is>
          <t>Reparacion/Falla de equipo de clasificado/carguio</t>
        </is>
      </c>
      <c r="F27" t="inlineStr">
        <is>
          <t>Mantención</t>
        </is>
      </c>
      <c r="G27" t="n">
        <v>120</v>
      </c>
      <c r="H27" t="inlineStr">
        <is>
          <t>Falla equipo de clasificado</t>
        </is>
      </c>
    </row>
    <row r="28">
      <c r="A28" t="inlineStr">
        <is>
          <t>04-05-2026</t>
        </is>
      </c>
      <c r="B28" t="n">
        <v>826202</v>
      </c>
      <c r="C28" t="inlineStr">
        <is>
          <t>S246</t>
        </is>
      </c>
      <c r="D28" t="n">
        <v>4</v>
      </c>
      <c r="E28" t="inlineStr">
        <is>
          <t>Reparacion/Falla equipo de Trozado</t>
        </is>
      </c>
      <c r="F28" t="inlineStr">
        <is>
          <t>Mantención</t>
        </is>
      </c>
      <c r="G28" t="n">
        <v>600</v>
      </c>
      <c r="H28" t="inlineStr"/>
    </row>
    <row r="29">
      <c r="A29" t="inlineStr">
        <is>
          <t>04-05-2026</t>
        </is>
      </c>
      <c r="B29" t="n">
        <v>826207</v>
      </c>
      <c r="C29" t="inlineStr">
        <is>
          <t>TEA08</t>
        </is>
      </c>
      <c r="D29" t="n">
        <v>4</v>
      </c>
      <c r="E29" t="inlineStr">
        <is>
          <t>Reparacion/Falla equipo de Trozado</t>
        </is>
      </c>
      <c r="F29" t="inlineStr">
        <is>
          <t>Mantención</t>
        </is>
      </c>
      <c r="G29" t="n">
        <v>660</v>
      </c>
      <c r="H29" t="inlineStr">
        <is>
          <t>Por robo piezas cabezal</t>
        </is>
      </c>
    </row>
    <row r="30">
      <c r="A30" t="inlineStr">
        <is>
          <t>04-05-2026</t>
        </is>
      </c>
      <c r="B30" t="n">
        <v>826209</v>
      </c>
      <c r="C30" t="inlineStr">
        <is>
          <t>S58</t>
        </is>
      </c>
      <c r="D30" t="n">
        <v>33</v>
      </c>
      <c r="E30" t="inlineStr">
        <is>
          <t>Cancha o camino en mal estado</t>
        </is>
      </c>
      <c r="F30" t="inlineStr">
        <is>
          <t>Operacional</t>
        </is>
      </c>
      <c r="G30" t="n">
        <v>300</v>
      </c>
      <c r="H30" t="inlineStr">
        <is>
          <t>Camino en mal estado 5 hora para salir a cargar combustible</t>
        </is>
      </c>
    </row>
    <row r="31">
      <c r="A31" t="inlineStr">
        <is>
          <t>04-05-2026</t>
        </is>
      </c>
      <c r="B31" t="n">
        <v>826212</v>
      </c>
      <c r="C31" t="inlineStr">
        <is>
          <t>MG5</t>
        </is>
      </c>
      <c r="D31" t="n">
        <v>32</v>
      </c>
      <c r="E31" t="inlineStr">
        <is>
          <t>Carguio de camiones</t>
        </is>
      </c>
      <c r="F31" t="inlineStr">
        <is>
          <t>Operacional</t>
        </is>
      </c>
      <c r="G31" t="n">
        <v>60</v>
      </c>
      <c r="H31" t="inlineStr">
        <is>
          <t>Se carga para generar espacios por ecceso de madera en cancha</t>
        </is>
      </c>
    </row>
    <row r="32">
      <c r="A32" t="inlineStr">
        <is>
          <t>04-05-2026</t>
        </is>
      </c>
      <c r="B32" t="n">
        <v>826214</v>
      </c>
      <c r="C32" t="inlineStr">
        <is>
          <t>S58</t>
        </is>
      </c>
      <c r="D32" t="n">
        <v>15</v>
      </c>
      <c r="E32" t="inlineStr">
        <is>
          <t>Falta o atraso de personal</t>
        </is>
      </c>
      <c r="F32" t="inlineStr">
        <is>
          <t>Operacional</t>
        </is>
      </c>
      <c r="G32" t="n">
        <v>60</v>
      </c>
      <c r="H32" t="inlineStr">
        <is>
          <t>Falta segregacion ruta empresa externa</t>
        </is>
      </c>
    </row>
    <row r="33">
      <c r="A33" t="inlineStr">
        <is>
          <t>04-05-2026</t>
        </is>
      </c>
      <c r="B33" t="n">
        <v>826234</v>
      </c>
      <c r="C33" t="inlineStr">
        <is>
          <t>TEA02</t>
        </is>
      </c>
      <c r="D33" t="n">
        <v>42</v>
      </c>
      <c r="E33" t="inlineStr">
        <is>
          <t>Descanso/Pausa programada</t>
        </is>
      </c>
      <c r="F33" t="inlineStr">
        <is>
          <t>Proceso</t>
        </is>
      </c>
      <c r="G33" t="n">
        <v>30</v>
      </c>
      <c r="H33" t="inlineStr">
        <is>
          <t>Pausa activa</t>
        </is>
      </c>
    </row>
    <row r="34">
      <c r="A34" t="inlineStr">
        <is>
          <t>05-05-2026</t>
        </is>
      </c>
      <c r="B34" t="n">
        <v>826317</v>
      </c>
      <c r="C34" t="inlineStr">
        <is>
          <t>TEA08</t>
        </is>
      </c>
      <c r="D34" t="n">
        <v>4</v>
      </c>
      <c r="E34" t="inlineStr">
        <is>
          <t>Reparacion/Falla equipo de Trozado</t>
        </is>
      </c>
      <c r="F34" t="inlineStr">
        <is>
          <t>Mantención</t>
        </is>
      </c>
      <c r="G34" t="n">
        <v>660</v>
      </c>
      <c r="H34" t="inlineStr">
        <is>
          <t>Por robo de piezas al cabezal</t>
        </is>
      </c>
    </row>
    <row r="35">
      <c r="A35" t="inlineStr">
        <is>
          <t>05-05-2026</t>
        </is>
      </c>
      <c r="B35" t="n">
        <v>826333</v>
      </c>
      <c r="C35" t="inlineStr">
        <is>
          <t>S246</t>
        </is>
      </c>
      <c r="D35" t="n">
        <v>4</v>
      </c>
      <c r="E35" t="inlineStr">
        <is>
          <t>Reparacion/Falla equipo de Trozado</t>
        </is>
      </c>
      <c r="F35" t="inlineStr">
        <is>
          <t>Mantención</t>
        </is>
      </c>
      <c r="G35" t="n">
        <v>30</v>
      </c>
      <c r="H35" t="inlineStr">
        <is>
          <t>Cambio y afilado de cadenas</t>
        </is>
      </c>
    </row>
    <row r="36">
      <c r="A36" t="inlineStr">
        <is>
          <t>05-05-2026</t>
        </is>
      </c>
      <c r="B36" t="n">
        <v>826335</v>
      </c>
      <c r="C36" t="inlineStr">
        <is>
          <t>S223</t>
        </is>
      </c>
      <c r="D36" t="n">
        <v>33</v>
      </c>
      <c r="E36" t="inlineStr">
        <is>
          <t>Cancha o camino en mal estado</t>
        </is>
      </c>
      <c r="F36" t="inlineStr">
        <is>
          <t>Operacional</t>
        </is>
      </c>
      <c r="G36" t="n">
        <v>120</v>
      </c>
      <c r="H36" t="inlineStr">
        <is>
          <t xml:space="preserve">Madereo 450 mtrs de distancis </t>
        </is>
      </c>
    </row>
    <row r="37">
      <c r="A37" t="inlineStr">
        <is>
          <t>05-05-2026</t>
        </is>
      </c>
      <c r="B37" t="n">
        <v>826340</v>
      </c>
      <c r="C37" t="inlineStr">
        <is>
          <t>S123</t>
        </is>
      </c>
      <c r="D37" t="n">
        <v>17</v>
      </c>
      <c r="E37" t="inlineStr">
        <is>
          <t>Falta de trozado</t>
        </is>
      </c>
      <c r="F37" t="inlineStr">
        <is>
          <t>Operacional</t>
        </is>
      </c>
      <c r="G37" t="n">
        <v>180</v>
      </c>
      <c r="H37" t="inlineStr">
        <is>
          <t>Falta de trozado por espera de arrumado</t>
        </is>
      </c>
    </row>
    <row r="38">
      <c r="A38" t="inlineStr">
        <is>
          <t>05-05-2026</t>
        </is>
      </c>
      <c r="B38" t="n">
        <v>826341</v>
      </c>
      <c r="C38" t="inlineStr">
        <is>
          <t>S123</t>
        </is>
      </c>
      <c r="D38" t="n">
        <v>22</v>
      </c>
      <c r="E38" t="inlineStr">
        <is>
          <t>Falta/abstecimiento de combustible equipo de proce</t>
        </is>
      </c>
      <c r="F38" t="inlineStr">
        <is>
          <t>Operacional</t>
        </is>
      </c>
      <c r="G38" t="n">
        <v>30</v>
      </c>
      <c r="H38" t="inlineStr">
        <is>
          <t>Abastecimiento combustible</t>
        </is>
      </c>
    </row>
    <row r="39">
      <c r="A39" t="inlineStr">
        <is>
          <t>05-05-2026</t>
        </is>
      </c>
      <c r="B39" t="n">
        <v>826354</v>
      </c>
      <c r="C39" t="inlineStr">
        <is>
          <t>S58</t>
        </is>
      </c>
      <c r="D39" t="n">
        <v>16</v>
      </c>
      <c r="E39" t="inlineStr">
        <is>
          <t>Falta de clasificado y arrumado</t>
        </is>
      </c>
      <c r="F39" t="inlineStr">
        <is>
          <t>Operacional</t>
        </is>
      </c>
      <c r="G39" t="n">
        <v>240</v>
      </c>
      <c r="H39" t="inlineStr">
        <is>
          <t>2 horas falta petroleo 2 horas falta segregacion  ruta 1 hora falla equipo clasificado</t>
        </is>
      </c>
    </row>
    <row r="40">
      <c r="A40" t="inlineStr">
        <is>
          <t>05-05-2026</t>
        </is>
      </c>
      <c r="B40" t="n">
        <v>826355</v>
      </c>
      <c r="C40" t="inlineStr">
        <is>
          <t>TEA02</t>
        </is>
      </c>
      <c r="D40" t="n">
        <v>42</v>
      </c>
      <c r="E40" t="inlineStr">
        <is>
          <t>Descanso/Pausa programada</t>
        </is>
      </c>
      <c r="F40" t="inlineStr">
        <is>
          <t>Proceso</t>
        </is>
      </c>
      <c r="G40" t="n">
        <v>30</v>
      </c>
      <c r="H40" t="inlineStr">
        <is>
          <t>Pausa activa</t>
        </is>
      </c>
    </row>
    <row r="41">
      <c r="A41" t="inlineStr">
        <is>
          <t>06-05-2026</t>
        </is>
      </c>
      <c r="B41" t="n">
        <v>826454</v>
      </c>
      <c r="C41" t="inlineStr">
        <is>
          <t>S246</t>
        </is>
      </c>
      <c r="D41" t="n">
        <v>4</v>
      </c>
      <c r="E41" t="inlineStr">
        <is>
          <t>Reparacion/Falla equipo de Trozado</t>
        </is>
      </c>
      <c r="F41" t="inlineStr">
        <is>
          <t>Mantención</t>
        </is>
      </c>
      <c r="G41" t="n">
        <v>30</v>
      </c>
      <c r="H41" t="inlineStr">
        <is>
          <t>Afido y cambio de cadenas</t>
        </is>
      </c>
    </row>
    <row r="42">
      <c r="A42" t="inlineStr">
        <is>
          <t>06-05-2026</t>
        </is>
      </c>
      <c r="B42" t="n">
        <v>826454</v>
      </c>
      <c r="C42" t="inlineStr">
        <is>
          <t>S246</t>
        </is>
      </c>
      <c r="D42" t="n">
        <v>5</v>
      </c>
      <c r="E42" t="inlineStr">
        <is>
          <t>Reparacion/Falla de equipo de clasificado/carguio</t>
        </is>
      </c>
      <c r="F42" t="inlineStr">
        <is>
          <t>Mantención</t>
        </is>
      </c>
      <c r="G42" t="n">
        <v>60</v>
      </c>
      <c r="H42" t="inlineStr"/>
    </row>
    <row r="43">
      <c r="A43" t="inlineStr">
        <is>
          <t>06-05-2026</t>
        </is>
      </c>
      <c r="B43" t="n">
        <v>826463</v>
      </c>
      <c r="C43" t="inlineStr">
        <is>
          <t>S123</t>
        </is>
      </c>
      <c r="D43" t="n">
        <v>43</v>
      </c>
      <c r="E43" t="inlineStr">
        <is>
          <t>Colacion</t>
        </is>
      </c>
      <c r="F43" t="inlineStr">
        <is>
          <t>Proceso</t>
        </is>
      </c>
      <c r="G43" t="n">
        <v>30</v>
      </c>
      <c r="H43" t="inlineStr">
        <is>
          <t>Colacion</t>
        </is>
      </c>
    </row>
    <row r="44">
      <c r="A44" t="inlineStr">
        <is>
          <t>06-05-2026</t>
        </is>
      </c>
      <c r="B44" t="n">
        <v>826463</v>
      </c>
      <c r="C44" t="inlineStr">
        <is>
          <t>S123</t>
        </is>
      </c>
      <c r="D44" t="n">
        <v>22</v>
      </c>
      <c r="E44" t="inlineStr">
        <is>
          <t>Falta/abstecimiento de combustible equipo de proce</t>
        </is>
      </c>
      <c r="F44" t="inlineStr">
        <is>
          <t>Operacional</t>
        </is>
      </c>
      <c r="G44" t="n">
        <v>30</v>
      </c>
      <c r="H44" t="inlineStr">
        <is>
          <t>Abastecimiento combustible</t>
        </is>
      </c>
    </row>
    <row r="45">
      <c r="A45" t="inlineStr">
        <is>
          <t>06-05-2026</t>
        </is>
      </c>
      <c r="B45" t="n">
        <v>826464</v>
      </c>
      <c r="C45" t="inlineStr">
        <is>
          <t>S123</t>
        </is>
      </c>
      <c r="D45" t="n">
        <v>17</v>
      </c>
      <c r="E45" t="inlineStr">
        <is>
          <t>Falta de trozado</t>
        </is>
      </c>
      <c r="F45" t="inlineStr">
        <is>
          <t>Operacional</t>
        </is>
      </c>
      <c r="G45" t="n">
        <v>30</v>
      </c>
      <c r="H45" t="inlineStr">
        <is>
          <t>Afilado de cadena</t>
        </is>
      </c>
    </row>
    <row r="46">
      <c r="A46" t="inlineStr">
        <is>
          <t>06-05-2026</t>
        </is>
      </c>
      <c r="B46" t="n">
        <v>826503</v>
      </c>
      <c r="C46" t="inlineStr">
        <is>
          <t>S58</t>
        </is>
      </c>
      <c r="D46" t="n">
        <v>33</v>
      </c>
      <c r="E46" t="inlineStr">
        <is>
          <t>Cancha o camino en mal estado</t>
        </is>
      </c>
      <c r="F46" t="inlineStr">
        <is>
          <t>Operacional</t>
        </is>
      </c>
      <c r="G46" t="n">
        <v>120</v>
      </c>
      <c r="H46" t="inlineStr">
        <is>
          <t>2 hora camino en mal estado salida de maquina a xargar combustible 1 hora falta segregacion ruta</t>
        </is>
      </c>
    </row>
    <row r="47">
      <c r="A47" t="inlineStr">
        <is>
          <t>06-05-2026</t>
        </is>
      </c>
      <c r="B47" t="n">
        <v>826509</v>
      </c>
      <c r="C47" t="inlineStr">
        <is>
          <t>TEA02</t>
        </is>
      </c>
      <c r="D47" t="n">
        <v>42</v>
      </c>
      <c r="E47" t="inlineStr">
        <is>
          <t>Descanso/Pausa programada</t>
        </is>
      </c>
      <c r="F47" t="inlineStr">
        <is>
          <t>Proceso</t>
        </is>
      </c>
      <c r="G47" t="n">
        <v>30</v>
      </c>
      <c r="H47" t="inlineStr">
        <is>
          <t>Pausa activa</t>
        </is>
      </c>
    </row>
    <row r="48">
      <c r="A48" t="inlineStr">
        <is>
          <t>06-05-2026</t>
        </is>
      </c>
      <c r="B48" t="n">
        <v>826525</v>
      </c>
      <c r="C48" t="inlineStr">
        <is>
          <t>S223</t>
        </is>
      </c>
      <c r="D48" t="n">
        <v>68</v>
      </c>
      <c r="E48" t="inlineStr">
        <is>
          <t>Sobre Shoveleo</t>
        </is>
      </c>
      <c r="F48" t="inlineStr">
        <is>
          <t>Operacional</t>
        </is>
      </c>
      <c r="G48" t="n">
        <v>480</v>
      </c>
      <c r="H48" t="inlineStr">
        <is>
          <t>Inicio de turno sin stock de arboles para iniciar trozado normal</t>
        </is>
      </c>
    </row>
    <row r="49">
      <c r="A49" t="inlineStr">
        <is>
          <t>06-05-2026</t>
        </is>
      </c>
      <c r="B49" t="n">
        <v>826536</v>
      </c>
      <c r="C49" t="inlineStr">
        <is>
          <t>TEA08</t>
        </is>
      </c>
      <c r="D49" t="n">
        <v>4</v>
      </c>
      <c r="E49" t="inlineStr">
        <is>
          <t>Reparacion/Falla equipo de Trozado</t>
        </is>
      </c>
      <c r="F49" t="inlineStr">
        <is>
          <t>Mantención</t>
        </is>
      </c>
      <c r="G49" t="n">
        <v>630</v>
      </c>
      <c r="H49" t="inlineStr">
        <is>
          <t>Robo modulo de cabezal</t>
        </is>
      </c>
    </row>
    <row r="50">
      <c r="A50" t="inlineStr">
        <is>
          <t>07-05-2026</t>
        </is>
      </c>
      <c r="B50" t="n">
        <v>826571</v>
      </c>
      <c r="C50" t="inlineStr">
        <is>
          <t>S246</t>
        </is>
      </c>
      <c r="D50" t="n">
        <v>4</v>
      </c>
      <c r="E50" t="inlineStr">
        <is>
          <t>Reparacion/Falla equipo de Trozado</t>
        </is>
      </c>
      <c r="F50" t="inlineStr">
        <is>
          <t>Mantención</t>
        </is>
      </c>
      <c r="G50" t="n">
        <v>30</v>
      </c>
      <c r="H50" t="inlineStr">
        <is>
          <t>Afilado y cambio de cadenas</t>
        </is>
      </c>
    </row>
    <row r="51">
      <c r="A51" t="inlineStr">
        <is>
          <t>07-05-2026</t>
        </is>
      </c>
      <c r="B51" t="n">
        <v>826575</v>
      </c>
      <c r="C51" t="inlineStr">
        <is>
          <t>T125</t>
        </is>
      </c>
      <c r="D51" t="n">
        <v>5</v>
      </c>
      <c r="E51" t="inlineStr">
        <is>
          <t>Reparacion/Falla de equipo de clasificado/carguio</t>
        </is>
      </c>
      <c r="F51" t="inlineStr">
        <is>
          <t>Mantención</t>
        </is>
      </c>
      <c r="G51" t="n">
        <v>120</v>
      </c>
      <c r="H51" t="inlineStr"/>
    </row>
    <row r="52">
      <c r="A52" t="inlineStr">
        <is>
          <t>07-05-2026</t>
        </is>
      </c>
      <c r="B52" t="n">
        <v>826577</v>
      </c>
      <c r="C52" t="inlineStr">
        <is>
          <t>S58</t>
        </is>
      </c>
      <c r="D52" t="n">
        <v>4</v>
      </c>
      <c r="E52" t="inlineStr">
        <is>
          <t>Reparacion/Falla equipo de Trozado</t>
        </is>
      </c>
      <c r="F52" t="inlineStr">
        <is>
          <t>Mantención</t>
        </is>
      </c>
      <c r="G52" t="n">
        <v>120</v>
      </c>
      <c r="H52" t="inlineStr">
        <is>
          <t>Falla equipo de trozado</t>
        </is>
      </c>
    </row>
    <row r="53">
      <c r="A53" t="inlineStr">
        <is>
          <t>07-05-2026</t>
        </is>
      </c>
      <c r="B53" t="n">
        <v>826604</v>
      </c>
      <c r="C53" t="inlineStr">
        <is>
          <t>TEA02</t>
        </is>
      </c>
      <c r="D53" t="n">
        <v>7</v>
      </c>
      <c r="E53" t="inlineStr">
        <is>
          <t xml:space="preserve"> Mantencion equipo de volteo</t>
        </is>
      </c>
      <c r="F53" t="inlineStr">
        <is>
          <t>Operacional</t>
        </is>
      </c>
      <c r="G53" t="n">
        <v>120</v>
      </c>
      <c r="H53" t="inlineStr"/>
    </row>
    <row r="54">
      <c r="A54" t="inlineStr">
        <is>
          <t>07-05-2026</t>
        </is>
      </c>
      <c r="B54" t="n">
        <v>826605</v>
      </c>
      <c r="C54" t="inlineStr">
        <is>
          <t>MG5</t>
        </is>
      </c>
      <c r="D54" t="n">
        <v>42</v>
      </c>
      <c r="E54" t="inlineStr">
        <is>
          <t>Descanso/Pausa programada</t>
        </is>
      </c>
      <c r="F54" t="inlineStr">
        <is>
          <t>Proceso</t>
        </is>
      </c>
      <c r="G54" t="n">
        <v>15</v>
      </c>
      <c r="H54" t="inlineStr"/>
    </row>
    <row r="55">
      <c r="A55" t="inlineStr">
        <is>
          <t>07-05-2026</t>
        </is>
      </c>
      <c r="B55" t="n">
        <v>826608</v>
      </c>
      <c r="C55" t="inlineStr">
        <is>
          <t>MG5</t>
        </is>
      </c>
      <c r="D55" t="n">
        <v>42</v>
      </c>
      <c r="E55" t="inlineStr">
        <is>
          <t>Descanso/Pausa programada</t>
        </is>
      </c>
      <c r="F55" t="inlineStr">
        <is>
          <t>Proceso</t>
        </is>
      </c>
      <c r="G55" t="n">
        <v>15</v>
      </c>
      <c r="H55" t="inlineStr"/>
    </row>
    <row r="56">
      <c r="A56" t="inlineStr">
        <is>
          <t>07-05-2026</t>
        </is>
      </c>
      <c r="B56" t="n">
        <v>826612</v>
      </c>
      <c r="C56" t="inlineStr">
        <is>
          <t>S123</t>
        </is>
      </c>
      <c r="D56" t="n">
        <v>42</v>
      </c>
      <c r="E56" t="inlineStr">
        <is>
          <t>Descanso/Pausa programada</t>
        </is>
      </c>
      <c r="F56" t="inlineStr">
        <is>
          <t>Proceso</t>
        </is>
      </c>
      <c r="G56" t="n">
        <v>15</v>
      </c>
      <c r="H56" t="inlineStr">
        <is>
          <t>Pausa</t>
        </is>
      </c>
    </row>
    <row r="57">
      <c r="A57" t="inlineStr">
        <is>
          <t>07-05-2026</t>
        </is>
      </c>
      <c r="B57" t="n">
        <v>826612</v>
      </c>
      <c r="C57" t="inlineStr">
        <is>
          <t>S123</t>
        </is>
      </c>
      <c r="D57" t="n">
        <v>17</v>
      </c>
      <c r="E57" t="inlineStr">
        <is>
          <t>Falta de trozado</t>
        </is>
      </c>
      <c r="F57" t="inlineStr">
        <is>
          <t>Operacional</t>
        </is>
      </c>
      <c r="G57" t="n">
        <v>135</v>
      </c>
      <c r="H57" t="inlineStr">
        <is>
          <t>Espera de volteo,proceso lento por trabajo asistido.</t>
        </is>
      </c>
    </row>
    <row r="58">
      <c r="A58" t="inlineStr">
        <is>
          <t>07-05-2026</t>
        </is>
      </c>
      <c r="B58" t="n">
        <v>826615</v>
      </c>
      <c r="C58" t="inlineStr">
        <is>
          <t>S123</t>
        </is>
      </c>
      <c r="D58" t="n">
        <v>42</v>
      </c>
      <c r="E58" t="inlineStr">
        <is>
          <t>Descanso/Pausa programada</t>
        </is>
      </c>
      <c r="F58" t="inlineStr">
        <is>
          <t>Proceso</t>
        </is>
      </c>
      <c r="G58" t="n">
        <v>15</v>
      </c>
      <c r="H58" t="inlineStr">
        <is>
          <t>Pausa</t>
        </is>
      </c>
    </row>
    <row r="59">
      <c r="A59" t="inlineStr">
        <is>
          <t>07-05-2026</t>
        </is>
      </c>
      <c r="B59" t="n">
        <v>826627</v>
      </c>
      <c r="C59" t="inlineStr">
        <is>
          <t>S223</t>
        </is>
      </c>
      <c r="D59" t="n">
        <v>8</v>
      </c>
      <c r="E59" t="inlineStr">
        <is>
          <t>Mantencion equipo de madereo</t>
        </is>
      </c>
      <c r="F59" t="inlineStr">
        <is>
          <t>Operacional</t>
        </is>
      </c>
      <c r="G59" t="n">
        <v>420</v>
      </c>
      <c r="H59" t="inlineStr">
        <is>
          <t>Posrura de cadenas del neumaticos delanreros sg-18</t>
        </is>
      </c>
    </row>
    <row r="60">
      <c r="A60" t="inlineStr">
        <is>
          <t>07-05-2026</t>
        </is>
      </c>
      <c r="B60" t="n">
        <v>826648</v>
      </c>
      <c r="C60" t="inlineStr">
        <is>
          <t>TEA08</t>
        </is>
      </c>
      <c r="D60" t="n">
        <v>4</v>
      </c>
      <c r="E60" t="inlineStr">
        <is>
          <t>Reparacion/Falla equipo de Trozado</t>
        </is>
      </c>
      <c r="F60" t="inlineStr">
        <is>
          <t>Mantención</t>
        </is>
      </c>
      <c r="G60" t="n">
        <v>630</v>
      </c>
      <c r="H60" t="inlineStr">
        <is>
          <t>Por Robo de piesas de cabezal</t>
        </is>
      </c>
    </row>
    <row r="61">
      <c r="A61" t="inlineStr">
        <is>
          <t>08-05-2026</t>
        </is>
      </c>
      <c r="B61" t="n">
        <v>826709</v>
      </c>
      <c r="C61" t="inlineStr">
        <is>
          <t>S246</t>
        </is>
      </c>
      <c r="D61" t="n">
        <v>13</v>
      </c>
      <c r="E61" t="inlineStr">
        <is>
          <t>Traslados dentro del predio (cancha, sector)</t>
        </is>
      </c>
      <c r="F61" t="inlineStr">
        <is>
          <t>Operacional</t>
        </is>
      </c>
      <c r="G61" t="n">
        <v>180</v>
      </c>
      <c r="H61" t="inlineStr">
        <is>
          <t>2 horas perdidas por traslado dentro del predio 1 hora por cambio de cadenas dentro del turno</t>
        </is>
      </c>
    </row>
    <row r="62">
      <c r="A62" t="inlineStr">
        <is>
          <t>08-05-2026</t>
        </is>
      </c>
      <c r="B62" t="n">
        <v>826710</v>
      </c>
      <c r="C62" t="inlineStr">
        <is>
          <t>S58</t>
        </is>
      </c>
      <c r="D62" t="n">
        <v>1</v>
      </c>
      <c r="E62" t="inlineStr">
        <is>
          <t>Reparacion/Falla equipo de volteo</t>
        </is>
      </c>
      <c r="F62" t="inlineStr">
        <is>
          <t>Mantención</t>
        </is>
      </c>
      <c r="G62" t="n">
        <v>120</v>
      </c>
      <c r="H62" t="inlineStr">
        <is>
          <t>Falta de volteo por robo de combustible</t>
        </is>
      </c>
    </row>
    <row r="63">
      <c r="A63" t="inlineStr">
        <is>
          <t>08-05-2026</t>
        </is>
      </c>
      <c r="B63" t="n">
        <v>826714</v>
      </c>
      <c r="C63" t="inlineStr">
        <is>
          <t>T125</t>
        </is>
      </c>
      <c r="D63" t="n">
        <v>26</v>
      </c>
      <c r="E63" t="inlineStr">
        <is>
          <t>Desinstalacion de torre (vientos/ soportes)</t>
        </is>
      </c>
      <c r="F63" t="inlineStr">
        <is>
          <t>Operacional</t>
        </is>
      </c>
      <c r="G63" t="n">
        <v>120</v>
      </c>
      <c r="H63" t="inlineStr">
        <is>
          <t>Remate de linea y desintalacion de torre alpine</t>
        </is>
      </c>
    </row>
    <row r="64">
      <c r="A64" t="inlineStr">
        <is>
          <t>08-05-2026</t>
        </is>
      </c>
      <c r="B64" t="n">
        <v>826739</v>
      </c>
      <c r="C64" t="inlineStr">
        <is>
          <t>S223</t>
        </is>
      </c>
      <c r="D64" t="n">
        <v>68</v>
      </c>
      <c r="E64" t="inlineStr">
        <is>
          <t>Sobre Shoveleo</t>
        </is>
      </c>
      <c r="F64" t="inlineStr">
        <is>
          <t>Operacional</t>
        </is>
      </c>
      <c r="G64" t="n">
        <v>180</v>
      </c>
      <c r="H64" t="inlineStr"/>
    </row>
    <row r="65">
      <c r="A65" t="inlineStr">
        <is>
          <t>08-05-2026</t>
        </is>
      </c>
      <c r="B65" t="n">
        <v>826753</v>
      </c>
      <c r="C65" t="inlineStr">
        <is>
          <t>S123</t>
        </is>
      </c>
      <c r="D65" t="n">
        <v>42</v>
      </c>
      <c r="E65" t="inlineStr">
        <is>
          <t>Descanso/Pausa programada</t>
        </is>
      </c>
      <c r="F65" t="inlineStr">
        <is>
          <t>Proceso</t>
        </is>
      </c>
      <c r="G65" t="n">
        <v>15</v>
      </c>
      <c r="H65" t="inlineStr">
        <is>
          <t>Pausa</t>
        </is>
      </c>
    </row>
    <row r="66">
      <c r="A66" t="inlineStr">
        <is>
          <t>08-05-2026</t>
        </is>
      </c>
      <c r="B66" t="n">
        <v>826753</v>
      </c>
      <c r="C66" t="inlineStr">
        <is>
          <t>S123</t>
        </is>
      </c>
      <c r="D66" t="n">
        <v>12</v>
      </c>
      <c r="E66" t="inlineStr">
        <is>
          <t xml:space="preserve"> Mantencion otros equipos</t>
        </is>
      </c>
      <c r="F66" t="inlineStr">
        <is>
          <t>Operacional</t>
        </is>
      </c>
      <c r="G66" t="n">
        <v>135</v>
      </c>
      <c r="H66" t="inlineStr">
        <is>
          <t>Mantencion de sus filtros  y aceites equipo de volteo</t>
        </is>
      </c>
    </row>
    <row r="67">
      <c r="A67" t="inlineStr">
        <is>
          <t>08-05-2026</t>
        </is>
      </c>
      <c r="B67" t="n">
        <v>826756</v>
      </c>
      <c r="C67" t="inlineStr">
        <is>
          <t>S123</t>
        </is>
      </c>
      <c r="D67" t="n">
        <v>42</v>
      </c>
      <c r="E67" t="inlineStr">
        <is>
          <t>Descanso/Pausa programada</t>
        </is>
      </c>
      <c r="F67" t="inlineStr">
        <is>
          <t>Proceso</t>
        </is>
      </c>
      <c r="G67" t="n">
        <v>15</v>
      </c>
      <c r="H67" t="inlineStr">
        <is>
          <t>Pausa</t>
        </is>
      </c>
    </row>
    <row r="68">
      <c r="A68" t="inlineStr">
        <is>
          <t>08-05-2026</t>
        </is>
      </c>
      <c r="B68" t="n">
        <v>826757</v>
      </c>
      <c r="C68" t="inlineStr">
        <is>
          <t>MG5</t>
        </is>
      </c>
      <c r="D68" t="n">
        <v>42</v>
      </c>
      <c r="E68" t="inlineStr">
        <is>
          <t>Descanso/Pausa programada</t>
        </is>
      </c>
      <c r="F68" t="inlineStr">
        <is>
          <t>Proceso</t>
        </is>
      </c>
      <c r="G68" t="n">
        <v>30</v>
      </c>
      <c r="H68" t="inlineStr"/>
    </row>
    <row r="69">
      <c r="A69" t="inlineStr">
        <is>
          <t>08-05-2026</t>
        </is>
      </c>
      <c r="B69" t="n">
        <v>826766</v>
      </c>
      <c r="C69" t="inlineStr">
        <is>
          <t>TEA02</t>
        </is>
      </c>
      <c r="D69" t="n">
        <v>20</v>
      </c>
      <c r="E69" t="inlineStr">
        <is>
          <t>Falta/abstecimiento de combustible equipo de volte</t>
        </is>
      </c>
      <c r="F69" t="inlineStr">
        <is>
          <t>Operacional</t>
        </is>
      </c>
      <c r="G69" t="n">
        <v>120</v>
      </c>
      <c r="H69" t="inlineStr">
        <is>
          <t>trasladar equipos a petrolear .. camino en mal estado</t>
        </is>
      </c>
    </row>
    <row r="70">
      <c r="A70" t="inlineStr">
        <is>
          <t>08-05-2026</t>
        </is>
      </c>
      <c r="B70" t="n">
        <v>826767</v>
      </c>
      <c r="C70" t="inlineStr">
        <is>
          <t>TEA08</t>
        </is>
      </c>
      <c r="D70" t="n">
        <v>4</v>
      </c>
      <c r="E70" t="inlineStr">
        <is>
          <t>Reparacion/Falla equipo de Trozado</t>
        </is>
      </c>
      <c r="F70" t="inlineStr">
        <is>
          <t>Mantención</t>
        </is>
      </c>
      <c r="G70" t="n">
        <v>630</v>
      </c>
      <c r="H70" t="inlineStr">
        <is>
          <t>Reparacion y reposicion de piezas robadas</t>
        </is>
      </c>
    </row>
    <row r="71">
      <c r="A71" t="inlineStr">
        <is>
          <t>09-05-2026</t>
        </is>
      </c>
      <c r="B71" t="n">
        <v>826845</v>
      </c>
      <c r="C71" t="inlineStr">
        <is>
          <t>S58</t>
        </is>
      </c>
      <c r="D71" t="n">
        <v>5</v>
      </c>
      <c r="E71" t="inlineStr">
        <is>
          <t>Reparacion/Falla de equipo de clasificado/carguio</t>
        </is>
      </c>
      <c r="F71" t="inlineStr">
        <is>
          <t>Mantención</t>
        </is>
      </c>
      <c r="G71" t="n">
        <v>120</v>
      </c>
      <c r="H71" t="inlineStr">
        <is>
          <t>Falla equipo de clasificado</t>
        </is>
      </c>
    </row>
    <row r="72">
      <c r="A72" t="inlineStr">
        <is>
          <t>09-05-2026</t>
        </is>
      </c>
      <c r="B72" t="n">
        <v>826853</v>
      </c>
      <c r="C72" t="inlineStr">
        <is>
          <t>S246</t>
        </is>
      </c>
      <c r="D72" t="n">
        <v>22</v>
      </c>
      <c r="E72" t="inlineStr">
        <is>
          <t>Falta/abstecimiento de combustible equipo de proce</t>
        </is>
      </c>
      <c r="F72" t="inlineStr">
        <is>
          <t>Operacional</t>
        </is>
      </c>
      <c r="G72" t="n">
        <v>300</v>
      </c>
      <c r="H72" t="inlineStr">
        <is>
          <t>5 horas perdidas falta de combustible</t>
        </is>
      </c>
    </row>
    <row r="73">
      <c r="A73" t="inlineStr">
        <is>
          <t>09-05-2026</t>
        </is>
      </c>
      <c r="B73" t="n">
        <v>826856</v>
      </c>
      <c r="C73" t="inlineStr">
        <is>
          <t>MG5</t>
        </is>
      </c>
      <c r="D73" t="n">
        <v>42</v>
      </c>
      <c r="E73" t="inlineStr">
        <is>
          <t>Descanso/Pausa programada</t>
        </is>
      </c>
      <c r="F73" t="inlineStr">
        <is>
          <t>Proceso</t>
        </is>
      </c>
      <c r="G73" t="n">
        <v>15</v>
      </c>
      <c r="H73" t="inlineStr"/>
    </row>
    <row r="74">
      <c r="A74" t="inlineStr">
        <is>
          <t>09-05-2026</t>
        </is>
      </c>
      <c r="B74" t="n">
        <v>826864</v>
      </c>
      <c r="C74" t="inlineStr">
        <is>
          <t>MG5</t>
        </is>
      </c>
      <c r="D74" t="n">
        <v>42</v>
      </c>
      <c r="E74" t="inlineStr">
        <is>
          <t>Descanso/Pausa programada</t>
        </is>
      </c>
      <c r="F74" t="inlineStr">
        <is>
          <t>Proceso</t>
        </is>
      </c>
      <c r="G74" t="n">
        <v>15</v>
      </c>
      <c r="H74" t="inlineStr"/>
    </row>
    <row r="75">
      <c r="A75" t="inlineStr">
        <is>
          <t>09-05-2026</t>
        </is>
      </c>
      <c r="B75" t="n">
        <v>826865</v>
      </c>
      <c r="C75" t="inlineStr">
        <is>
          <t>S123</t>
        </is>
      </c>
      <c r="D75" t="n">
        <v>42</v>
      </c>
      <c r="E75" t="inlineStr">
        <is>
          <t>Descanso/Pausa programada</t>
        </is>
      </c>
      <c r="F75" t="inlineStr">
        <is>
          <t>Proceso</t>
        </is>
      </c>
      <c r="G75" t="n">
        <v>30</v>
      </c>
      <c r="H75" t="inlineStr">
        <is>
          <t>Pausa/activa</t>
        </is>
      </c>
    </row>
    <row r="76">
      <c r="A76" t="inlineStr">
        <is>
          <t>09-05-2026</t>
        </is>
      </c>
      <c r="B76" t="n">
        <v>826865</v>
      </c>
      <c r="C76" t="inlineStr">
        <is>
          <t>S123</t>
        </is>
      </c>
      <c r="D76" t="n">
        <v>17</v>
      </c>
      <c r="E76" t="inlineStr">
        <is>
          <t>Falta de trozado</t>
        </is>
      </c>
      <c r="F76" t="inlineStr">
        <is>
          <t>Operacional</t>
        </is>
      </c>
      <c r="G76" t="n">
        <v>510</v>
      </c>
      <c r="H76" t="inlineStr">
        <is>
          <t>Por termino de predio (escenario el cabrito cbb) y a espera de traslado?????</t>
        </is>
      </c>
    </row>
    <row r="77">
      <c r="A77" t="inlineStr">
        <is>
          <t>09-05-2026</t>
        </is>
      </c>
      <c r="B77" t="n">
        <v>826875</v>
      </c>
      <c r="C77" t="inlineStr">
        <is>
          <t>TEA02</t>
        </is>
      </c>
      <c r="D77" t="n">
        <v>13</v>
      </c>
      <c r="E77" t="inlineStr">
        <is>
          <t>Traslados dentro del predio (cancha, sector)</t>
        </is>
      </c>
      <c r="F77" t="inlineStr">
        <is>
          <t>Operacional</t>
        </is>
      </c>
      <c r="G77" t="n">
        <v>120</v>
      </c>
      <c r="H77" t="inlineStr">
        <is>
          <t>salir a petrolear a camino firme</t>
        </is>
      </c>
    </row>
    <row r="78">
      <c r="A78" t="inlineStr">
        <is>
          <t>09-05-2026</t>
        </is>
      </c>
      <c r="B78" t="n">
        <v>826886</v>
      </c>
      <c r="C78" t="inlineStr">
        <is>
          <t>S223</t>
        </is>
      </c>
      <c r="D78" t="n">
        <v>68</v>
      </c>
      <c r="E78" t="inlineStr">
        <is>
          <t>Sobre Shoveleo</t>
        </is>
      </c>
      <c r="F78" t="inlineStr">
        <is>
          <t>Operacional</t>
        </is>
      </c>
      <c r="G78" t="n">
        <v>300</v>
      </c>
      <c r="H78" t="inlineStr">
        <is>
          <t>Distancia de madereo 650mts aprox</t>
        </is>
      </c>
    </row>
    <row r="79">
      <c r="A79" t="inlineStr">
        <is>
          <t>09-05-2026</t>
        </is>
      </c>
      <c r="B79" t="n">
        <v>826921</v>
      </c>
      <c r="C79" t="inlineStr">
        <is>
          <t>TEA08</t>
        </is>
      </c>
      <c r="D79" t="n">
        <v>4</v>
      </c>
      <c r="E79" t="inlineStr">
        <is>
          <t>Reparacion/Falla equipo de Trozado</t>
        </is>
      </c>
      <c r="F79" t="inlineStr">
        <is>
          <t>Mantención</t>
        </is>
      </c>
      <c r="G79" t="n">
        <v>300</v>
      </c>
      <c r="H79" t="inlineStr">
        <is>
          <t>Reparacion y prueba de equipo despues del robo</t>
        </is>
      </c>
    </row>
    <row r="80">
      <c r="A80" t="inlineStr">
        <is>
          <t>10-05-2026</t>
        </is>
      </c>
      <c r="B80" t="n">
        <v>826944</v>
      </c>
      <c r="C80" t="inlineStr">
        <is>
          <t>T125</t>
        </is>
      </c>
      <c r="D80" t="n">
        <v>18</v>
      </c>
      <c r="E80" t="inlineStr">
        <is>
          <t>Falta de volteo o desrame</t>
        </is>
      </c>
      <c r="F80" t="inlineStr">
        <is>
          <t>Operacional</t>
        </is>
      </c>
      <c r="G80" t="n">
        <v>240</v>
      </c>
      <c r="H80" t="inlineStr">
        <is>
          <t>R6 a espera de volteo a linea para torre alpine</t>
        </is>
      </c>
    </row>
    <row r="81">
      <c r="A81" t="inlineStr">
        <is>
          <t>10-05-2026</t>
        </is>
      </c>
      <c r="B81" t="n">
        <v>826947</v>
      </c>
      <c r="C81" t="inlineStr">
        <is>
          <t>S246</t>
        </is>
      </c>
      <c r="D81" t="n">
        <v>22</v>
      </c>
      <c r="E81" t="inlineStr">
        <is>
          <t>Falta/abstecimiento de combustible equipo de proce</t>
        </is>
      </c>
      <c r="F81" t="inlineStr">
        <is>
          <t>Operacional</t>
        </is>
      </c>
      <c r="G81" t="n">
        <v>180</v>
      </c>
      <c r="H81" t="inlineStr">
        <is>
          <t>3 horas perdidas sin combustible</t>
        </is>
      </c>
    </row>
    <row r="82">
      <c r="A82" t="inlineStr">
        <is>
          <t>10-05-2026</t>
        </is>
      </c>
      <c r="B82" t="n">
        <v>826955</v>
      </c>
      <c r="C82" t="inlineStr">
        <is>
          <t>S223</t>
        </is>
      </c>
      <c r="D82" t="n">
        <v>68</v>
      </c>
      <c r="E82" t="inlineStr">
        <is>
          <t>Sobre Shoveleo</t>
        </is>
      </c>
      <c r="F82" t="inlineStr">
        <is>
          <t>Operacional</t>
        </is>
      </c>
      <c r="G82" t="n">
        <v>180</v>
      </c>
      <c r="H82" t="inlineStr"/>
    </row>
    <row r="83">
      <c r="A83" t="inlineStr">
        <is>
          <t>10-05-2026</t>
        </is>
      </c>
      <c r="B83" t="n">
        <v>826959</v>
      </c>
      <c r="C83" t="inlineStr">
        <is>
          <t>S123</t>
        </is>
      </c>
      <c r="D83" t="n">
        <v>42</v>
      </c>
      <c r="E83" t="inlineStr">
        <is>
          <t>Descanso/Pausa programada</t>
        </is>
      </c>
      <c r="F83" t="inlineStr">
        <is>
          <t>Proceso</t>
        </is>
      </c>
      <c r="G83" t="n">
        <v>30</v>
      </c>
      <c r="H83" t="inlineStr">
        <is>
          <t>Pausa</t>
        </is>
      </c>
    </row>
    <row r="84">
      <c r="A84" t="inlineStr">
        <is>
          <t>10-05-2026</t>
        </is>
      </c>
      <c r="B84" t="n">
        <v>826959</v>
      </c>
      <c r="C84" t="inlineStr">
        <is>
          <t>S123</t>
        </is>
      </c>
      <c r="D84" t="n">
        <v>38</v>
      </c>
      <c r="E84" t="inlineStr">
        <is>
          <t>Falta autorizaciones FASA</t>
        </is>
      </c>
      <c r="F84" t="inlineStr">
        <is>
          <t>Operacional</t>
        </is>
      </c>
      <c r="G84" t="n">
        <v>630</v>
      </c>
      <c r="H84" t="inlineStr">
        <is>
          <t>Termino de predio ,y espera de documentacion de fasa , para traslado</t>
        </is>
      </c>
    </row>
    <row r="85">
      <c r="A85" t="inlineStr">
        <is>
          <t>10-05-2026</t>
        </is>
      </c>
      <c r="B85" t="n">
        <v>826969</v>
      </c>
      <c r="C85" t="inlineStr">
        <is>
          <t>S58</t>
        </is>
      </c>
      <c r="D85" t="n">
        <v>4</v>
      </c>
      <c r="E85" t="inlineStr">
        <is>
          <t>Reparacion/Falla equipo de Trozado</t>
        </is>
      </c>
      <c r="F85" t="inlineStr">
        <is>
          <t>Mantención</t>
        </is>
      </c>
      <c r="G85" t="n">
        <v>60</v>
      </c>
      <c r="H85" t="inlineStr">
        <is>
          <t>Reparacion de filo de cuchillo procesador</t>
        </is>
      </c>
    </row>
    <row r="86">
      <c r="A86" t="inlineStr">
        <is>
          <t>10-05-2026</t>
        </is>
      </c>
      <c r="B86" t="n">
        <v>826976</v>
      </c>
      <c r="C86" t="inlineStr">
        <is>
          <t>MG5</t>
        </is>
      </c>
      <c r="D86" t="n">
        <v>42</v>
      </c>
      <c r="E86" t="inlineStr">
        <is>
          <t>Descanso/Pausa programada</t>
        </is>
      </c>
      <c r="F86" t="inlineStr">
        <is>
          <t>Proceso</t>
        </is>
      </c>
      <c r="G86" t="n">
        <v>30</v>
      </c>
      <c r="H86" t="inlineStr"/>
    </row>
    <row r="87">
      <c r="A87" t="inlineStr">
        <is>
          <t>10-05-2026</t>
        </is>
      </c>
      <c r="B87" t="n">
        <v>827021</v>
      </c>
      <c r="C87" t="inlineStr">
        <is>
          <t>TEA08</t>
        </is>
      </c>
      <c r="D87" t="n">
        <v>4</v>
      </c>
      <c r="E87" t="inlineStr">
        <is>
          <t>Reparacion/Falla equipo de Trozado</t>
        </is>
      </c>
      <c r="F87" t="inlineStr">
        <is>
          <t>Mantención</t>
        </is>
      </c>
      <c r="G87" t="n">
        <v>300</v>
      </c>
      <c r="H87" t="inlineStr"/>
    </row>
    <row r="88">
      <c r="A88" t="inlineStr">
        <is>
          <t>11-05-2026</t>
        </is>
      </c>
      <c r="B88" t="n">
        <v>827091</v>
      </c>
      <c r="C88" t="inlineStr">
        <is>
          <t>S246</t>
        </is>
      </c>
      <c r="D88" t="n">
        <v>14</v>
      </c>
      <c r="E88" t="inlineStr">
        <is>
          <t>Traslados otro predio</t>
        </is>
      </c>
      <c r="F88" t="inlineStr">
        <is>
          <t>Operacional</t>
        </is>
      </c>
      <c r="G88" t="n">
        <v>660</v>
      </c>
      <c r="H88" t="inlineStr">
        <is>
          <t>Sin actividad por traslado a otro predio</t>
        </is>
      </c>
    </row>
    <row r="89">
      <c r="A89" t="inlineStr">
        <is>
          <t>11-05-2026</t>
        </is>
      </c>
      <c r="B89" t="n">
        <v>827099</v>
      </c>
      <c r="C89" t="inlineStr">
        <is>
          <t>TEA02</t>
        </is>
      </c>
      <c r="D89" t="n">
        <v>14</v>
      </c>
      <c r="E89" t="inlineStr">
        <is>
          <t>Traslados otro predio</t>
        </is>
      </c>
      <c r="F89" t="inlineStr">
        <is>
          <t>Operacional</t>
        </is>
      </c>
      <c r="G89" t="n">
        <v>420</v>
      </c>
      <c r="H89" t="inlineStr"/>
    </row>
    <row r="90">
      <c r="A90" t="inlineStr">
        <is>
          <t>11-05-2026</t>
        </is>
      </c>
      <c r="B90" t="n">
        <v>827100</v>
      </c>
      <c r="C90" t="inlineStr">
        <is>
          <t>S123</t>
        </is>
      </c>
      <c r="D90" t="n">
        <v>42</v>
      </c>
      <c r="E90" t="inlineStr">
        <is>
          <t>Descanso/Pausa programada</t>
        </is>
      </c>
      <c r="F90" t="inlineStr">
        <is>
          <t>Proceso</t>
        </is>
      </c>
      <c r="G90" t="n">
        <v>30</v>
      </c>
      <c r="H90" t="inlineStr">
        <is>
          <t>Pausa/activa</t>
        </is>
      </c>
    </row>
    <row r="91">
      <c r="A91" t="inlineStr">
        <is>
          <t>11-05-2026</t>
        </is>
      </c>
      <c r="B91" t="n">
        <v>827100</v>
      </c>
      <c r="C91" t="inlineStr">
        <is>
          <t>S123</t>
        </is>
      </c>
      <c r="D91" t="n">
        <v>38</v>
      </c>
      <c r="E91" t="inlineStr">
        <is>
          <t>Falta autorizaciones FASA</t>
        </is>
      </c>
      <c r="F91" t="inlineStr">
        <is>
          <t>Operacional</t>
        </is>
      </c>
      <c r="G91" t="n">
        <v>630</v>
      </c>
      <c r="H91" t="inlineStr">
        <is>
          <t>Falta de documentacion para proximo predio de parte de FASA.</t>
        </is>
      </c>
    </row>
    <row r="92">
      <c r="A92" t="inlineStr">
        <is>
          <t>11-05-2026</t>
        </is>
      </c>
      <c r="B92" t="n">
        <v>827103</v>
      </c>
      <c r="C92" t="inlineStr">
        <is>
          <t>T125</t>
        </is>
      </c>
      <c r="D92" t="n">
        <v>65</v>
      </c>
      <c r="E92" t="inlineStr">
        <is>
          <t>Volteo a Linea</t>
        </is>
      </c>
      <c r="F92" t="inlineStr">
        <is>
          <t>Operacional</t>
        </is>
      </c>
      <c r="G92" t="n">
        <v>480</v>
      </c>
      <c r="H92" t="inlineStr">
        <is>
          <t>R6 por volteo ala torre alpine</t>
        </is>
      </c>
    </row>
    <row r="93">
      <c r="A93" t="inlineStr">
        <is>
          <t>11-05-2026</t>
        </is>
      </c>
      <c r="B93" t="n">
        <v>827106</v>
      </c>
      <c r="C93" t="inlineStr">
        <is>
          <t>S58</t>
        </is>
      </c>
      <c r="D93" t="n">
        <v>10</v>
      </c>
      <c r="E93" t="inlineStr">
        <is>
          <t>Mantencion equipo de trozado</t>
        </is>
      </c>
      <c r="F93" t="inlineStr">
        <is>
          <t>Operacional</t>
        </is>
      </c>
      <c r="G93" t="n">
        <v>180</v>
      </c>
      <c r="H93" t="inlineStr">
        <is>
          <t>Reparacion de cuchilllo y cambio  de esc   Volte horilla de carretera</t>
        </is>
      </c>
    </row>
    <row r="94">
      <c r="A94" t="inlineStr">
        <is>
          <t>11-05-2026</t>
        </is>
      </c>
      <c r="B94" t="n">
        <v>827136</v>
      </c>
      <c r="C94" t="inlineStr">
        <is>
          <t>S223</t>
        </is>
      </c>
      <c r="D94" t="n">
        <v>22</v>
      </c>
      <c r="E94" t="inlineStr">
        <is>
          <t>Falta/abstecimiento de combustible equipo de proce</t>
        </is>
      </c>
      <c r="F94" t="inlineStr">
        <is>
          <t>Operacional</t>
        </is>
      </c>
      <c r="G94" t="n">
        <v>180</v>
      </c>
      <c r="H94" t="inlineStr"/>
    </row>
    <row r="95">
      <c r="A95" t="inlineStr">
        <is>
          <t>11-05-2026</t>
        </is>
      </c>
      <c r="B95" t="n">
        <v>827176</v>
      </c>
      <c r="C95" t="inlineStr">
        <is>
          <t>TEA08</t>
        </is>
      </c>
      <c r="D95" t="n">
        <v>4</v>
      </c>
      <c r="E95" t="inlineStr">
        <is>
          <t>Reparacion/Falla equipo de Trozado</t>
        </is>
      </c>
      <c r="F95" t="inlineStr">
        <is>
          <t>Mantención</t>
        </is>
      </c>
      <c r="G95" t="n">
        <v>120</v>
      </c>
      <c r="H95" t="inlineStr"/>
    </row>
    <row r="96">
      <c r="A96" t="inlineStr">
        <is>
          <t>12-05-2026</t>
        </is>
      </c>
      <c r="B96" t="n">
        <v>827213</v>
      </c>
      <c r="C96" t="inlineStr">
        <is>
          <t>S223</t>
        </is>
      </c>
      <c r="D96" t="n">
        <v>21</v>
      </c>
      <c r="E96" t="inlineStr">
        <is>
          <t>Falta/abstecimiento de combustible equipo de mader</t>
        </is>
      </c>
      <c r="F96" t="inlineStr">
        <is>
          <t>Operacional</t>
        </is>
      </c>
      <c r="G96" t="n">
        <v>240</v>
      </c>
      <c r="H96" t="inlineStr"/>
    </row>
    <row r="97">
      <c r="A97" t="inlineStr">
        <is>
          <t>12-05-2026</t>
        </is>
      </c>
      <c r="B97" t="n">
        <v>827230</v>
      </c>
      <c r="C97" t="inlineStr">
        <is>
          <t>S123</t>
        </is>
      </c>
      <c r="D97" t="n">
        <v>42</v>
      </c>
      <c r="E97" t="inlineStr">
        <is>
          <t>Descanso/Pausa programada</t>
        </is>
      </c>
      <c r="F97" t="inlineStr">
        <is>
          <t>Proceso</t>
        </is>
      </c>
      <c r="G97" t="n">
        <v>30</v>
      </c>
      <c r="H97" t="inlineStr">
        <is>
          <t>Pausa/activa</t>
        </is>
      </c>
    </row>
    <row r="98">
      <c r="A98" t="inlineStr">
        <is>
          <t>12-05-2026</t>
        </is>
      </c>
      <c r="B98" t="n">
        <v>827230</v>
      </c>
      <c r="C98" t="inlineStr">
        <is>
          <t>S123</t>
        </is>
      </c>
      <c r="D98" t="n">
        <v>38</v>
      </c>
      <c r="E98" t="inlineStr">
        <is>
          <t>Falta autorizaciones FASA</t>
        </is>
      </c>
      <c r="F98" t="inlineStr">
        <is>
          <t>Operacional</t>
        </is>
      </c>
      <c r="G98" t="n">
        <v>630</v>
      </c>
      <c r="H98" t="inlineStr">
        <is>
          <t>traslado de el cabrito  a predio quirquincho  Aun no esta ingresado el predio quirquincho a geonoc</t>
        </is>
      </c>
    </row>
    <row r="99">
      <c r="A99" t="inlineStr">
        <is>
          <t>12-05-2026</t>
        </is>
      </c>
      <c r="B99" t="n">
        <v>827232</v>
      </c>
      <c r="C99" t="inlineStr">
        <is>
          <t>TEA02</t>
        </is>
      </c>
      <c r="D99" t="n">
        <v>14</v>
      </c>
      <c r="E99" t="inlineStr">
        <is>
          <t>Traslados otro predio</t>
        </is>
      </c>
      <c r="F99" t="inlineStr">
        <is>
          <t>Operacional</t>
        </is>
      </c>
      <c r="G99" t="n">
        <v>540</v>
      </c>
      <c r="H99" t="inlineStr">
        <is>
          <t>equipos de trozado en traslado de predio</t>
        </is>
      </c>
    </row>
    <row r="100">
      <c r="A100" t="inlineStr">
        <is>
          <t>12-05-2026</t>
        </is>
      </c>
      <c r="B100" t="n">
        <v>827245</v>
      </c>
      <c r="C100" t="inlineStr">
        <is>
          <t>S58</t>
        </is>
      </c>
      <c r="D100" t="n">
        <v>4</v>
      </c>
      <c r="E100" t="inlineStr">
        <is>
          <t>Reparacion/Falla equipo de Trozado</t>
        </is>
      </c>
      <c r="F100" t="inlineStr">
        <is>
          <t>Mantención</t>
        </is>
      </c>
      <c r="G100" t="n">
        <v>120</v>
      </c>
      <c r="H100" t="inlineStr">
        <is>
          <t>Reparacion de equipo de clasificado  Y niebla en carretera para segregacion  Para volteo</t>
        </is>
      </c>
    </row>
    <row r="101">
      <c r="A101" t="inlineStr">
        <is>
          <t>12-05-2026</t>
        </is>
      </c>
      <c r="B101" t="n">
        <v>827256</v>
      </c>
      <c r="C101" t="inlineStr">
        <is>
          <t>S246</t>
        </is>
      </c>
      <c r="D101" t="n">
        <v>14</v>
      </c>
      <c r="E101" t="inlineStr">
        <is>
          <t>Traslados otro predio</t>
        </is>
      </c>
      <c r="F101" t="inlineStr">
        <is>
          <t>Operacional</t>
        </is>
      </c>
      <c r="G101" t="n">
        <v>420</v>
      </c>
      <c r="H101" t="inlineStr">
        <is>
          <t>5 horas peedidas por traslado de predio 2 horas perdidas por falla en equipo de trozado</t>
        </is>
      </c>
    </row>
    <row r="102">
      <c r="A102" t="inlineStr">
        <is>
          <t>12-05-2026</t>
        </is>
      </c>
      <c r="B102" t="n">
        <v>827271</v>
      </c>
      <c r="C102" t="inlineStr">
        <is>
          <t>TEA08</t>
        </is>
      </c>
      <c r="D102" t="n">
        <v>4</v>
      </c>
      <c r="E102" t="inlineStr">
        <is>
          <t>Reparacion/Falla equipo de Trozado</t>
        </is>
      </c>
      <c r="F102" t="inlineStr">
        <is>
          <t>Mantención</t>
        </is>
      </c>
      <c r="G102" t="n">
        <v>390</v>
      </c>
      <c r="H102" t="inlineStr"/>
    </row>
    <row r="103">
      <c r="A103" t="inlineStr">
        <is>
          <t>13-05-2026</t>
        </is>
      </c>
      <c r="B103" t="n">
        <v>827380</v>
      </c>
      <c r="C103" t="inlineStr">
        <is>
          <t>S223</t>
        </is>
      </c>
      <c r="D103" t="n">
        <v>1</v>
      </c>
      <c r="E103" t="inlineStr">
        <is>
          <t>Reparacion/Falla equipo de volteo</t>
        </is>
      </c>
      <c r="F103" t="inlineStr">
        <is>
          <t>Mantención</t>
        </is>
      </c>
      <c r="G103" t="n">
        <v>480</v>
      </c>
      <c r="H103" t="inlineStr">
        <is>
          <t>Madereo 500 mtrs aprox</t>
        </is>
      </c>
    </row>
    <row r="104">
      <c r="A104" t="inlineStr">
        <is>
          <t>13-05-2026</t>
        </is>
      </c>
      <c r="B104" t="n">
        <v>827381</v>
      </c>
      <c r="C104" t="inlineStr">
        <is>
          <t>MG5</t>
        </is>
      </c>
      <c r="D104" t="n">
        <v>42</v>
      </c>
      <c r="E104" t="inlineStr">
        <is>
          <t>Descanso/Pausa programada</t>
        </is>
      </c>
      <c r="F104" t="inlineStr">
        <is>
          <t>Proceso</t>
        </is>
      </c>
      <c r="G104" t="n">
        <v>30</v>
      </c>
      <c r="H104" t="inlineStr"/>
    </row>
    <row r="105">
      <c r="A105" t="inlineStr">
        <is>
          <t>13-05-2026</t>
        </is>
      </c>
      <c r="B105" t="n">
        <v>827384</v>
      </c>
      <c r="C105" t="inlineStr">
        <is>
          <t>S123</t>
        </is>
      </c>
      <c r="D105" t="n">
        <v>42</v>
      </c>
      <c r="E105" t="inlineStr">
        <is>
          <t>Descanso/Pausa programada</t>
        </is>
      </c>
      <c r="F105" t="inlineStr">
        <is>
          <t>Proceso</t>
        </is>
      </c>
      <c r="G105" t="n">
        <v>30</v>
      </c>
      <c r="H105" t="inlineStr">
        <is>
          <t>Pausa/activa</t>
        </is>
      </c>
    </row>
    <row r="106">
      <c r="A106" t="inlineStr">
        <is>
          <t>13-05-2026</t>
        </is>
      </c>
      <c r="B106" t="n">
        <v>827384</v>
      </c>
      <c r="C106" t="inlineStr">
        <is>
          <t>S123</t>
        </is>
      </c>
      <c r="D106" t="n">
        <v>14</v>
      </c>
      <c r="E106" t="inlineStr">
        <is>
          <t>Traslados otro predio</t>
        </is>
      </c>
      <c r="F106" t="inlineStr">
        <is>
          <t>Operacional</t>
        </is>
      </c>
      <c r="G106" t="n">
        <v>570</v>
      </c>
      <c r="H106" t="inlineStr">
        <is>
          <t>Por traslado de equipo de trozado   Solo volteo la mayoria de la  jornada.</t>
        </is>
      </c>
    </row>
    <row r="107">
      <c r="A107" t="inlineStr">
        <is>
          <t>13-05-2026</t>
        </is>
      </c>
      <c r="B107" t="n">
        <v>827387</v>
      </c>
      <c r="C107" t="inlineStr">
        <is>
          <t>S58</t>
        </is>
      </c>
      <c r="D107" t="n">
        <v>20</v>
      </c>
      <c r="E107" t="inlineStr">
        <is>
          <t>Falta/abstecimiento de combustible equipo de volte</t>
        </is>
      </c>
      <c r="F107" t="inlineStr">
        <is>
          <t>Operacional</t>
        </is>
      </c>
      <c r="G107" t="n">
        <v>180</v>
      </c>
      <c r="H107" t="inlineStr">
        <is>
          <t>Falta de combustible por robo de combustible</t>
        </is>
      </c>
    </row>
    <row r="108">
      <c r="A108" t="inlineStr">
        <is>
          <t>13-05-2026</t>
        </is>
      </c>
      <c r="B108" t="n">
        <v>827388</v>
      </c>
      <c r="C108" t="inlineStr">
        <is>
          <t>T125</t>
        </is>
      </c>
      <c r="D108" t="n">
        <v>25</v>
      </c>
      <c r="E108" t="inlineStr">
        <is>
          <t>Instalacion de torre (vientos/ soportes)</t>
        </is>
      </c>
      <c r="F108" t="inlineStr">
        <is>
          <t>Operacional</t>
        </is>
      </c>
      <c r="G108" t="n">
        <v>150</v>
      </c>
      <c r="H108" t="inlineStr">
        <is>
          <t>Intalacion de torre alpine</t>
        </is>
      </c>
    </row>
    <row r="109">
      <c r="A109" t="inlineStr">
        <is>
          <t>13-05-2026</t>
        </is>
      </c>
      <c r="B109" t="n">
        <v>827396</v>
      </c>
      <c r="C109" t="inlineStr">
        <is>
          <t>S246</t>
        </is>
      </c>
      <c r="D109" t="n">
        <v>4</v>
      </c>
      <c r="E109" t="inlineStr">
        <is>
          <t>Reparacion/Falla equipo de Trozado</t>
        </is>
      </c>
      <c r="F109" t="inlineStr">
        <is>
          <t>Mantención</t>
        </is>
      </c>
      <c r="G109" t="n">
        <v>180</v>
      </c>
      <c r="H109" t="inlineStr">
        <is>
          <t>3 horas perdidas por falla en pasador de cabezal</t>
        </is>
      </c>
    </row>
    <row r="110">
      <c r="A110" t="inlineStr">
        <is>
          <t>13-05-2026</t>
        </is>
      </c>
      <c r="B110" t="n">
        <v>827407</v>
      </c>
      <c r="C110" t="inlineStr">
        <is>
          <t>TEA08</t>
        </is>
      </c>
      <c r="D110" t="n">
        <v>20</v>
      </c>
      <c r="E110" t="inlineStr">
        <is>
          <t>Falta/abstecimiento de combustible equipo de volte</t>
        </is>
      </c>
      <c r="F110" t="inlineStr">
        <is>
          <t>Operacional</t>
        </is>
      </c>
      <c r="G110" t="n">
        <v>30</v>
      </c>
      <c r="H110" t="inlineStr"/>
    </row>
    <row r="111">
      <c r="A111" t="inlineStr">
        <is>
          <t>13-05-2026</t>
        </is>
      </c>
      <c r="B111" t="n">
        <v>827407</v>
      </c>
      <c r="C111" t="inlineStr">
        <is>
          <t>TEA08</t>
        </is>
      </c>
      <c r="D111" t="n">
        <v>4</v>
      </c>
      <c r="E111" t="inlineStr">
        <is>
          <t>Reparacion/Falla equipo de Trozado</t>
        </is>
      </c>
      <c r="F111" t="inlineStr">
        <is>
          <t>Mantención</t>
        </is>
      </c>
      <c r="G111" t="n">
        <v>30</v>
      </c>
      <c r="H111" t="inlineStr"/>
    </row>
    <row r="112">
      <c r="A112" t="inlineStr">
        <is>
          <t>14-05-2026</t>
        </is>
      </c>
      <c r="B112" t="n">
        <v>827471</v>
      </c>
      <c r="C112" t="inlineStr">
        <is>
          <t>T125</t>
        </is>
      </c>
      <c r="D112" t="n">
        <v>26</v>
      </c>
      <c r="E112" t="inlineStr">
        <is>
          <t>Desinstalacion de torre (vientos/ soportes)</t>
        </is>
      </c>
      <c r="F112" t="inlineStr">
        <is>
          <t>Operacional</t>
        </is>
      </c>
      <c r="G112" t="n">
        <v>240</v>
      </c>
      <c r="H112" t="inlineStr">
        <is>
          <t>Remate de linea y desintalacion</t>
        </is>
      </c>
    </row>
    <row r="113">
      <c r="A113" t="inlineStr">
        <is>
          <t>14-05-2026</t>
        </is>
      </c>
      <c r="B113" t="n">
        <v>827472</v>
      </c>
      <c r="C113" t="inlineStr">
        <is>
          <t>MG5</t>
        </is>
      </c>
      <c r="D113" t="n">
        <v>4</v>
      </c>
      <c r="E113" t="inlineStr">
        <is>
          <t>Reparacion/Falla equipo de Trozado</t>
        </is>
      </c>
      <c r="F113" t="inlineStr">
        <is>
          <t>Mantención</t>
        </is>
      </c>
      <c r="G113" t="n">
        <v>180</v>
      </c>
      <c r="H113" t="inlineStr">
        <is>
          <t>Falla de pasador de cilindro de brazos de cuchillos</t>
        </is>
      </c>
    </row>
    <row r="114">
      <c r="A114" t="inlineStr">
        <is>
          <t>14-05-2026</t>
        </is>
      </c>
      <c r="B114" t="n">
        <v>827476</v>
      </c>
      <c r="C114" t="inlineStr">
        <is>
          <t>S123</t>
        </is>
      </c>
      <c r="D114" t="n">
        <v>2</v>
      </c>
      <c r="E114" t="inlineStr">
        <is>
          <t>Reparacion/Falla de equipo de madereo</t>
        </is>
      </c>
      <c r="F114" t="inlineStr">
        <is>
          <t>Mantención</t>
        </is>
      </c>
      <c r="G114" t="n">
        <v>60</v>
      </c>
      <c r="H114" t="inlineStr">
        <is>
          <t>Reparacion falla equipo de madereo</t>
        </is>
      </c>
    </row>
    <row r="115">
      <c r="A115" t="inlineStr">
        <is>
          <t>14-05-2026</t>
        </is>
      </c>
      <c r="B115" t="n">
        <v>827492</v>
      </c>
      <c r="C115" t="inlineStr">
        <is>
          <t>S246</t>
        </is>
      </c>
      <c r="D115" t="n">
        <v>22</v>
      </c>
      <c r="E115" t="inlineStr">
        <is>
          <t>Falta/abstecimiento de combustible equipo de proce</t>
        </is>
      </c>
      <c r="F115" t="inlineStr">
        <is>
          <t>Operacional</t>
        </is>
      </c>
      <c r="G115" t="n">
        <v>120</v>
      </c>
      <c r="H115" t="inlineStr">
        <is>
          <t>1 hora perdida por falta de combustible 1 hora perdida por cambios de cadena dentro del dia</t>
        </is>
      </c>
    </row>
    <row r="116">
      <c r="A116" t="inlineStr">
        <is>
          <t>14-05-2026</t>
        </is>
      </c>
      <c r="B116" t="n">
        <v>827503</v>
      </c>
      <c r="C116" t="inlineStr">
        <is>
          <t>TEA02</t>
        </is>
      </c>
      <c r="D116" t="n">
        <v>42</v>
      </c>
      <c r="E116" t="inlineStr">
        <is>
          <t>Descanso/Pausa programada</t>
        </is>
      </c>
      <c r="F116" t="inlineStr">
        <is>
          <t>Proceso</t>
        </is>
      </c>
      <c r="G116" t="n">
        <v>30</v>
      </c>
      <c r="H116" t="inlineStr">
        <is>
          <t>Pausa activa</t>
        </is>
      </c>
    </row>
    <row r="117">
      <c r="A117" t="inlineStr">
        <is>
          <t>14-05-2026</t>
        </is>
      </c>
      <c r="B117" t="n">
        <v>827509</v>
      </c>
      <c r="C117" t="inlineStr">
        <is>
          <t>S223</t>
        </is>
      </c>
      <c r="D117" t="n">
        <v>1</v>
      </c>
      <c r="E117" t="inlineStr">
        <is>
          <t>Reparacion/Falla equipo de volteo</t>
        </is>
      </c>
      <c r="F117" t="inlineStr">
        <is>
          <t>Mantención</t>
        </is>
      </c>
      <c r="G117" t="n">
        <v>300</v>
      </c>
      <c r="H117" t="inlineStr">
        <is>
          <t>Madereo desde 500 mtrs</t>
        </is>
      </c>
    </row>
    <row r="118">
      <c r="A118" t="inlineStr">
        <is>
          <t>14-05-2026</t>
        </is>
      </c>
      <c r="B118" t="n">
        <v>827512</v>
      </c>
      <c r="C118" t="inlineStr">
        <is>
          <t>S58</t>
        </is>
      </c>
      <c r="D118" t="n">
        <v>15</v>
      </c>
      <c r="E118" t="inlineStr">
        <is>
          <t>Falta o atraso de personal</t>
        </is>
      </c>
      <c r="F118" t="inlineStr">
        <is>
          <t>Operacional</t>
        </is>
      </c>
      <c r="G118" t="n">
        <v>180</v>
      </c>
      <c r="H118" t="inlineStr">
        <is>
          <t>Atraso segregacion de autopista  Por emp 3 logger 1 hora fslla equipo clasif8cafs</t>
        </is>
      </c>
    </row>
    <row r="119">
      <c r="A119" t="inlineStr">
        <is>
          <t>14-05-2026</t>
        </is>
      </c>
      <c r="B119" t="n">
        <v>827513</v>
      </c>
      <c r="C119" t="inlineStr">
        <is>
          <t>TEA08</t>
        </is>
      </c>
      <c r="D119" t="n">
        <v>13</v>
      </c>
      <c r="E119" t="inlineStr">
        <is>
          <t>Traslados dentro del predio (cancha, sector)</t>
        </is>
      </c>
      <c r="F119" t="inlineStr">
        <is>
          <t>Operacional</t>
        </is>
      </c>
      <c r="G119" t="n">
        <v>60</v>
      </c>
      <c r="H119" t="inlineStr"/>
    </row>
    <row r="120">
      <c r="A120" t="inlineStr">
        <is>
          <t>15-05-2026</t>
        </is>
      </c>
      <c r="B120" t="n">
        <v>827605</v>
      </c>
      <c r="C120" t="inlineStr">
        <is>
          <t>S58</t>
        </is>
      </c>
      <c r="D120" t="n">
        <v>3</v>
      </c>
      <c r="E120" t="inlineStr">
        <is>
          <t xml:space="preserve"> Reparacion/Falla de carro de madereo</t>
        </is>
      </c>
      <c r="F120" t="inlineStr">
        <is>
          <t>Mantención</t>
        </is>
      </c>
      <c r="G120" t="n">
        <v>120</v>
      </c>
      <c r="H120" t="inlineStr">
        <is>
          <t>Falla dkiderd</t>
        </is>
      </c>
    </row>
    <row r="121">
      <c r="A121" t="inlineStr">
        <is>
          <t>15-05-2026</t>
        </is>
      </c>
      <c r="B121" t="n">
        <v>827611</v>
      </c>
      <c r="C121" t="inlineStr">
        <is>
          <t>S123</t>
        </is>
      </c>
      <c r="D121" t="n">
        <v>43</v>
      </c>
      <c r="E121" t="inlineStr">
        <is>
          <t>Colacion</t>
        </is>
      </c>
      <c r="F121" t="inlineStr">
        <is>
          <t>Proceso</t>
        </is>
      </c>
      <c r="G121" t="n">
        <v>60</v>
      </c>
      <c r="H121" t="inlineStr">
        <is>
          <t>Colacion</t>
        </is>
      </c>
    </row>
    <row r="122">
      <c r="A122" t="inlineStr">
        <is>
          <t>15-05-2026</t>
        </is>
      </c>
      <c r="B122" t="n">
        <v>827611</v>
      </c>
      <c r="C122" t="inlineStr">
        <is>
          <t>S123</t>
        </is>
      </c>
      <c r="D122" t="n">
        <v>1</v>
      </c>
      <c r="E122" t="inlineStr">
        <is>
          <t>Reparacion/Falla equipo de volteo</t>
        </is>
      </c>
      <c r="F122" t="inlineStr">
        <is>
          <t>Mantención</t>
        </is>
      </c>
      <c r="G122" t="n">
        <v>60</v>
      </c>
      <c r="H122" t="inlineStr">
        <is>
          <t>Reparacion equipo de volteo</t>
        </is>
      </c>
    </row>
    <row r="123">
      <c r="A123" t="inlineStr">
        <is>
          <t>15-05-2026</t>
        </is>
      </c>
      <c r="B123" t="n">
        <v>827630</v>
      </c>
      <c r="C123" t="inlineStr">
        <is>
          <t>TEA02</t>
        </is>
      </c>
      <c r="D123" t="n">
        <v>42</v>
      </c>
      <c r="E123" t="inlineStr">
        <is>
          <t>Descanso/Pausa programada</t>
        </is>
      </c>
      <c r="F123" t="inlineStr">
        <is>
          <t>Proceso</t>
        </is>
      </c>
      <c r="G123" t="n">
        <v>30</v>
      </c>
      <c r="H123" t="inlineStr">
        <is>
          <t>Pausa activa</t>
        </is>
      </c>
    </row>
    <row r="124">
      <c r="A124" t="inlineStr">
        <is>
          <t>15-05-2026</t>
        </is>
      </c>
      <c r="B124" t="n">
        <v>827647</v>
      </c>
      <c r="C124" t="inlineStr">
        <is>
          <t>S246</t>
        </is>
      </c>
      <c r="D124" t="n">
        <v>4</v>
      </c>
      <c r="E124" t="inlineStr">
        <is>
          <t>Reparacion/Falla equipo de Trozado</t>
        </is>
      </c>
      <c r="F124" t="inlineStr">
        <is>
          <t>Mantención</t>
        </is>
      </c>
      <c r="G124" t="n">
        <v>30</v>
      </c>
      <c r="H124" t="inlineStr">
        <is>
          <t>Afilado y cambio de cadenas</t>
        </is>
      </c>
    </row>
    <row r="125">
      <c r="A125" t="inlineStr">
        <is>
          <t>15-05-2026</t>
        </is>
      </c>
      <c r="B125" t="n">
        <v>827647</v>
      </c>
      <c r="C125" t="inlineStr">
        <is>
          <t>S246</t>
        </is>
      </c>
      <c r="D125" t="n">
        <v>4</v>
      </c>
      <c r="E125" t="inlineStr">
        <is>
          <t>Reparacion/Falla equipo de Trozado</t>
        </is>
      </c>
      <c r="F125" t="inlineStr">
        <is>
          <t>Mantención</t>
        </is>
      </c>
      <c r="G125" t="n">
        <v>120</v>
      </c>
      <c r="H125" t="inlineStr"/>
    </row>
    <row r="126">
      <c r="A126" t="inlineStr">
        <is>
          <t>15-05-2026</t>
        </is>
      </c>
      <c r="B126" t="n">
        <v>827647</v>
      </c>
      <c r="C126" t="inlineStr">
        <is>
          <t>S246</t>
        </is>
      </c>
      <c r="D126" t="n">
        <v>42</v>
      </c>
      <c r="E126" t="inlineStr">
        <is>
          <t>Descanso/Pausa programada</t>
        </is>
      </c>
      <c r="F126" t="inlineStr">
        <is>
          <t>Proceso</t>
        </is>
      </c>
      <c r="G126" t="n">
        <v>30</v>
      </c>
      <c r="H126" t="inlineStr"/>
    </row>
    <row r="127">
      <c r="A127" t="inlineStr">
        <is>
          <t>15-05-2026</t>
        </is>
      </c>
      <c r="B127" t="n">
        <v>827650</v>
      </c>
      <c r="C127" t="inlineStr">
        <is>
          <t>S223</t>
        </is>
      </c>
      <c r="D127" t="n">
        <v>1</v>
      </c>
      <c r="E127" t="inlineStr">
        <is>
          <t>Reparacion/Falla equipo de volteo</t>
        </is>
      </c>
      <c r="F127" t="inlineStr">
        <is>
          <t>Mantención</t>
        </is>
      </c>
      <c r="G127" t="n">
        <v>300</v>
      </c>
      <c r="H127" t="inlineStr">
        <is>
          <t>Madereo desde 500 mtrs</t>
        </is>
      </c>
    </row>
    <row r="128">
      <c r="A128" t="inlineStr">
        <is>
          <t>15-05-2026</t>
        </is>
      </c>
      <c r="B128" t="n">
        <v>827652</v>
      </c>
      <c r="C128" t="inlineStr">
        <is>
          <t>TEA08</t>
        </is>
      </c>
      <c r="D128" t="n">
        <v>4</v>
      </c>
      <c r="E128" t="inlineStr">
        <is>
          <t>Reparacion/Falla equipo de Trozado</t>
        </is>
      </c>
      <c r="F128" t="inlineStr">
        <is>
          <t>Mantención</t>
        </is>
      </c>
      <c r="G128" t="n">
        <v>120</v>
      </c>
      <c r="H128" t="inlineStr">
        <is>
          <t>Cambio rodillo cabezal</t>
        </is>
      </c>
    </row>
    <row r="129">
      <c r="A129" t="inlineStr">
        <is>
          <t>15-05-2026</t>
        </is>
      </c>
      <c r="B129" t="n">
        <v>827652</v>
      </c>
      <c r="C129" t="inlineStr">
        <is>
          <t>TEA08</t>
        </is>
      </c>
      <c r="D129" t="n">
        <v>13</v>
      </c>
      <c r="E129" t="inlineStr">
        <is>
          <t>Traslados dentro del predio (cancha, sector)</t>
        </is>
      </c>
      <c r="F129" t="inlineStr">
        <is>
          <t>Operacional</t>
        </is>
      </c>
      <c r="G129" t="n">
        <v>60</v>
      </c>
      <c r="H129" t="inlineStr"/>
    </row>
    <row r="130">
      <c r="A130" t="inlineStr">
        <is>
          <t>15-05-2026</t>
        </is>
      </c>
      <c r="B130" t="n">
        <v>827652</v>
      </c>
      <c r="C130" t="inlineStr">
        <is>
          <t>TEA08</t>
        </is>
      </c>
      <c r="D130" t="n">
        <v>31</v>
      </c>
      <c r="E130" t="inlineStr">
        <is>
          <t>Detencion por transito de camiones</t>
        </is>
      </c>
      <c r="F130" t="inlineStr">
        <is>
          <t>Operacional</t>
        </is>
      </c>
      <c r="G130" t="n">
        <v>60</v>
      </c>
      <c r="H130" t="inlineStr">
        <is>
          <t>Tránsito de camiones madereros, tolva, camionetas y furgones silvicolas y vehículos particulares</t>
        </is>
      </c>
    </row>
    <row r="131">
      <c r="A131" t="inlineStr">
        <is>
          <t>15-05-2026</t>
        </is>
      </c>
      <c r="B131" t="n">
        <v>827652</v>
      </c>
      <c r="C131" t="inlineStr">
        <is>
          <t>TEA08</t>
        </is>
      </c>
      <c r="D131" t="n">
        <v>20</v>
      </c>
      <c r="E131" t="inlineStr">
        <is>
          <t>Falta/abstecimiento de combustible equipo de volte</t>
        </is>
      </c>
      <c r="F131" t="inlineStr">
        <is>
          <t>Operacional</t>
        </is>
      </c>
      <c r="G131" t="n">
        <v>60</v>
      </c>
      <c r="H131" t="inlineStr"/>
    </row>
    <row r="132">
      <c r="A132" t="inlineStr">
        <is>
          <t>15-05-2026</t>
        </is>
      </c>
      <c r="B132" t="n">
        <v>827672</v>
      </c>
      <c r="C132" t="inlineStr">
        <is>
          <t>T125</t>
        </is>
      </c>
      <c r="D132" t="n">
        <v>25</v>
      </c>
      <c r="E132" t="inlineStr">
        <is>
          <t>Instalacion de torre (vientos/ soportes)</t>
        </is>
      </c>
      <c r="F132" t="inlineStr">
        <is>
          <t>Operacional</t>
        </is>
      </c>
      <c r="G132" t="n">
        <v>180</v>
      </c>
      <c r="H132" t="inlineStr">
        <is>
          <t>Cable de retorno enrededo</t>
        </is>
      </c>
    </row>
    <row r="133">
      <c r="A133" t="inlineStr">
        <is>
          <t>16-05-2026</t>
        </is>
      </c>
      <c r="B133" t="n">
        <v>827733</v>
      </c>
      <c r="C133" t="inlineStr">
        <is>
          <t>S58</t>
        </is>
      </c>
      <c r="D133" t="n">
        <v>2</v>
      </c>
      <c r="E133" t="inlineStr">
        <is>
          <t>Reparacion/Falla de equipo de madereo</t>
        </is>
      </c>
      <c r="F133" t="inlineStr">
        <is>
          <t>Mantención</t>
        </is>
      </c>
      <c r="G133" t="n">
        <v>60</v>
      </c>
      <c r="H133" t="inlineStr">
        <is>
          <t>Falla fkexibla skidder</t>
        </is>
      </c>
    </row>
    <row r="134">
      <c r="A134" t="inlineStr">
        <is>
          <t>16-05-2026</t>
        </is>
      </c>
      <c r="B134" t="n">
        <v>827737</v>
      </c>
      <c r="C134" t="inlineStr">
        <is>
          <t>S123</t>
        </is>
      </c>
      <c r="D134" t="n">
        <v>43</v>
      </c>
      <c r="E134" t="inlineStr">
        <is>
          <t>Colacion</t>
        </is>
      </c>
      <c r="F134" t="inlineStr">
        <is>
          <t>Proceso</t>
        </is>
      </c>
      <c r="G134" t="n">
        <v>60</v>
      </c>
      <c r="H134" t="inlineStr">
        <is>
          <t>Colacion</t>
        </is>
      </c>
    </row>
    <row r="135">
      <c r="A135" t="inlineStr">
        <is>
          <t>16-05-2026</t>
        </is>
      </c>
      <c r="B135" t="n">
        <v>827737</v>
      </c>
      <c r="C135" t="inlineStr">
        <is>
          <t>S123</t>
        </is>
      </c>
      <c r="D135" t="n">
        <v>2</v>
      </c>
      <c r="E135" t="inlineStr">
        <is>
          <t>Reparacion/Falla de equipo de madereo</t>
        </is>
      </c>
      <c r="F135" t="inlineStr">
        <is>
          <t>Mantención</t>
        </is>
      </c>
      <c r="G135" t="n">
        <v>180</v>
      </c>
      <c r="H135" t="inlineStr">
        <is>
          <t>Reparacion skideer</t>
        </is>
      </c>
    </row>
    <row r="136">
      <c r="A136" t="inlineStr">
        <is>
          <t>16-05-2026</t>
        </is>
      </c>
      <c r="B136" t="n">
        <v>827773</v>
      </c>
      <c r="C136" t="inlineStr">
        <is>
          <t>TEA02</t>
        </is>
      </c>
      <c r="D136" t="n">
        <v>42</v>
      </c>
      <c r="E136" t="inlineStr">
        <is>
          <t>Descanso/Pausa programada</t>
        </is>
      </c>
      <c r="F136" t="inlineStr">
        <is>
          <t>Proceso</t>
        </is>
      </c>
      <c r="G136" t="n">
        <v>30</v>
      </c>
      <c r="H136" t="inlineStr">
        <is>
          <t>Pausa activa</t>
        </is>
      </c>
    </row>
    <row r="137">
      <c r="A137" t="inlineStr">
        <is>
          <t>16-05-2026</t>
        </is>
      </c>
      <c r="B137" t="n">
        <v>827787</v>
      </c>
      <c r="C137" t="inlineStr">
        <is>
          <t>S223</t>
        </is>
      </c>
      <c r="D137" t="n">
        <v>1</v>
      </c>
      <c r="E137" t="inlineStr">
        <is>
          <t>Reparacion/Falla equipo de volteo</t>
        </is>
      </c>
      <c r="F137" t="inlineStr">
        <is>
          <t>Mantención</t>
        </is>
      </c>
      <c r="G137" t="n">
        <v>240</v>
      </c>
      <c r="H137" t="inlineStr"/>
    </row>
    <row r="138">
      <c r="A138" t="inlineStr">
        <is>
          <t>16-05-2026</t>
        </is>
      </c>
      <c r="B138" t="n">
        <v>827791</v>
      </c>
      <c r="C138" t="inlineStr">
        <is>
          <t>T125</t>
        </is>
      </c>
      <c r="D138" t="n">
        <v>68</v>
      </c>
      <c r="E138" t="inlineStr">
        <is>
          <t>Sobre Shoveleo</t>
        </is>
      </c>
      <c r="F138" t="inlineStr">
        <is>
          <t>Operacional</t>
        </is>
      </c>
      <c r="G138" t="n">
        <v>240</v>
      </c>
      <c r="H138" t="inlineStr"/>
    </row>
    <row r="139">
      <c r="A139" t="inlineStr">
        <is>
          <t>16-05-2026</t>
        </is>
      </c>
      <c r="B139" t="n">
        <v>827792</v>
      </c>
      <c r="C139" t="inlineStr">
        <is>
          <t>S246</t>
        </is>
      </c>
      <c r="D139" t="n">
        <v>4</v>
      </c>
      <c r="E139" t="inlineStr">
        <is>
          <t>Reparacion/Falla equipo de Trozado</t>
        </is>
      </c>
      <c r="F139" t="inlineStr">
        <is>
          <t>Mantención</t>
        </is>
      </c>
      <c r="G139" t="n">
        <v>90</v>
      </c>
      <c r="H139" t="inlineStr"/>
    </row>
    <row r="140">
      <c r="A140" t="inlineStr">
        <is>
          <t>16-05-2026</t>
        </is>
      </c>
      <c r="B140" t="n">
        <v>827792</v>
      </c>
      <c r="C140" t="inlineStr">
        <is>
          <t>S246</t>
        </is>
      </c>
      <c r="D140" t="n">
        <v>4</v>
      </c>
      <c r="E140" t="inlineStr">
        <is>
          <t>Reparacion/Falla equipo de Trozado</t>
        </is>
      </c>
      <c r="F140" t="inlineStr">
        <is>
          <t>Mantención</t>
        </is>
      </c>
      <c r="G140" t="n">
        <v>30</v>
      </c>
      <c r="H140" t="inlineStr">
        <is>
          <t>Afilado y cambio de cadenas</t>
        </is>
      </c>
    </row>
    <row r="141">
      <c r="A141" t="inlineStr">
        <is>
          <t>16-05-2026</t>
        </is>
      </c>
      <c r="B141" t="n">
        <v>827806</v>
      </c>
      <c r="C141" t="inlineStr">
        <is>
          <t>TEA08</t>
        </is>
      </c>
      <c r="D141" t="n">
        <v>22</v>
      </c>
      <c r="E141" t="inlineStr">
        <is>
          <t>Falta/abstecimiento de combustible equipo de proce</t>
        </is>
      </c>
      <c r="F141" t="inlineStr">
        <is>
          <t>Operacional</t>
        </is>
      </c>
      <c r="G141" t="n">
        <v>60</v>
      </c>
      <c r="H141" t="inlineStr">
        <is>
          <t>Traslado de  equipo a zona de abastecimiento lejana por camino no accesible al camión de combustible</t>
        </is>
      </c>
    </row>
    <row r="142">
      <c r="A142" t="inlineStr">
        <is>
          <t>17-05-2026</t>
        </is>
      </c>
      <c r="B142" t="n">
        <v>827980</v>
      </c>
      <c r="C142" t="inlineStr">
        <is>
          <t>S123</t>
        </is>
      </c>
      <c r="D142" t="n">
        <v>43</v>
      </c>
      <c r="E142" t="inlineStr">
        <is>
          <t>Colacion</t>
        </is>
      </c>
      <c r="F142" t="inlineStr">
        <is>
          <t>Proceso</t>
        </is>
      </c>
      <c r="G142" t="n">
        <v>60</v>
      </c>
      <c r="H142" t="inlineStr">
        <is>
          <t>Colacion</t>
        </is>
      </c>
    </row>
    <row r="143">
      <c r="A143" t="inlineStr">
        <is>
          <t>17-05-2026</t>
        </is>
      </c>
      <c r="B143" t="n">
        <v>827980</v>
      </c>
      <c r="C143" t="inlineStr">
        <is>
          <t>S123</t>
        </is>
      </c>
      <c r="D143" t="n">
        <v>8</v>
      </c>
      <c r="E143" t="inlineStr">
        <is>
          <t>Mantencion equipo de madereo</t>
        </is>
      </c>
      <c r="F143" t="inlineStr">
        <is>
          <t>Operacional</t>
        </is>
      </c>
      <c r="G143" t="n">
        <v>60</v>
      </c>
      <c r="H143" t="inlineStr">
        <is>
          <t>Relleno de aceites, espera de volteo</t>
        </is>
      </c>
    </row>
    <row r="144">
      <c r="A144" t="inlineStr">
        <is>
          <t>17-05-2026</t>
        </is>
      </c>
      <c r="B144" t="n">
        <v>827980</v>
      </c>
      <c r="C144" t="inlineStr">
        <is>
          <t>S123</t>
        </is>
      </c>
      <c r="D144" t="n">
        <v>1</v>
      </c>
      <c r="E144" t="inlineStr">
        <is>
          <t>Reparacion/Falla equipo de volteo</t>
        </is>
      </c>
      <c r="F144" t="inlineStr">
        <is>
          <t>Mantención</t>
        </is>
      </c>
      <c r="G144" t="n">
        <v>120</v>
      </c>
      <c r="H144" t="inlineStr">
        <is>
          <t>Reparacion cambio flexible</t>
        </is>
      </c>
    </row>
    <row r="145">
      <c r="A145" t="inlineStr">
        <is>
          <t>17-05-2026</t>
        </is>
      </c>
      <c r="B145" t="n">
        <v>827893</v>
      </c>
      <c r="C145" t="inlineStr">
        <is>
          <t>MG5</t>
        </is>
      </c>
      <c r="D145" t="n">
        <v>4</v>
      </c>
      <c r="E145" t="inlineStr">
        <is>
          <t>Reparacion/Falla equipo de Trozado</t>
        </is>
      </c>
      <c r="F145" t="inlineStr">
        <is>
          <t>Mantención</t>
        </is>
      </c>
      <c r="G145" t="n">
        <v>120</v>
      </c>
      <c r="H145" t="inlineStr">
        <is>
          <t>Falla en polea se cambian rodamientos</t>
        </is>
      </c>
    </row>
    <row r="146">
      <c r="A146" t="inlineStr">
        <is>
          <t>17-05-2026</t>
        </is>
      </c>
      <c r="B146" t="n">
        <v>827896</v>
      </c>
      <c r="C146" t="inlineStr">
        <is>
          <t>S58</t>
        </is>
      </c>
      <c r="D146" t="n">
        <v>13</v>
      </c>
      <c r="E146" t="inlineStr">
        <is>
          <t>Traslados dentro del predio (cancha, sector)</t>
        </is>
      </c>
      <c r="F146" t="inlineStr">
        <is>
          <t>Operacional</t>
        </is>
      </c>
      <c r="G146" t="n">
        <v>120</v>
      </c>
      <c r="H146" t="inlineStr">
        <is>
          <t>Trsdlado de escenario dentrovdelboredio</t>
        </is>
      </c>
    </row>
    <row r="147">
      <c r="A147" t="inlineStr">
        <is>
          <t>17-05-2026</t>
        </is>
      </c>
      <c r="B147" t="n">
        <v>827899</v>
      </c>
      <c r="C147" t="inlineStr">
        <is>
          <t>S246</t>
        </is>
      </c>
      <c r="D147" t="n">
        <v>4</v>
      </c>
      <c r="E147" t="inlineStr">
        <is>
          <t>Reparacion/Falla equipo de Trozado</t>
        </is>
      </c>
      <c r="F147" t="inlineStr">
        <is>
          <t>Mantención</t>
        </is>
      </c>
      <c r="G147" t="n">
        <v>30</v>
      </c>
      <c r="H147" t="inlineStr">
        <is>
          <t>Sbastesimiento de combustible</t>
        </is>
      </c>
    </row>
    <row r="148">
      <c r="A148" t="inlineStr">
        <is>
          <t>17-05-2026</t>
        </is>
      </c>
      <c r="B148" t="n">
        <v>827899</v>
      </c>
      <c r="C148" t="inlineStr">
        <is>
          <t>S246</t>
        </is>
      </c>
      <c r="D148" t="n">
        <v>4</v>
      </c>
      <c r="E148" t="inlineStr">
        <is>
          <t>Reparacion/Falla equipo de Trozado</t>
        </is>
      </c>
      <c r="F148" t="inlineStr">
        <is>
          <t>Mantención</t>
        </is>
      </c>
      <c r="G148" t="n">
        <v>30</v>
      </c>
      <c r="H148" t="inlineStr">
        <is>
          <t>Afilado y cambio de cadenas</t>
        </is>
      </c>
    </row>
    <row r="149">
      <c r="A149" t="inlineStr">
        <is>
          <t>17-05-2026</t>
        </is>
      </c>
      <c r="B149" t="n">
        <v>827899</v>
      </c>
      <c r="C149" t="inlineStr">
        <is>
          <t>S246</t>
        </is>
      </c>
      <c r="D149" t="n">
        <v>4</v>
      </c>
      <c r="E149" t="inlineStr">
        <is>
          <t>Reparacion/Falla equipo de Trozado</t>
        </is>
      </c>
      <c r="F149" t="inlineStr">
        <is>
          <t>Mantención</t>
        </is>
      </c>
      <c r="G149" t="n">
        <v>120</v>
      </c>
      <c r="H149" t="inlineStr"/>
    </row>
    <row r="150">
      <c r="A150" t="inlineStr">
        <is>
          <t>17-05-2026</t>
        </is>
      </c>
      <c r="B150" t="n">
        <v>827917</v>
      </c>
      <c r="C150" t="inlineStr">
        <is>
          <t>T125</t>
        </is>
      </c>
      <c r="D150" t="n">
        <v>68</v>
      </c>
      <c r="E150" t="inlineStr">
        <is>
          <t>Sobre Shoveleo</t>
        </is>
      </c>
      <c r="F150" t="inlineStr">
        <is>
          <t>Operacional</t>
        </is>
      </c>
      <c r="G150" t="n">
        <v>120</v>
      </c>
      <c r="H150" t="inlineStr"/>
    </row>
    <row r="151">
      <c r="A151" t="inlineStr">
        <is>
          <t>17-05-2026</t>
        </is>
      </c>
      <c r="B151" t="n">
        <v>827917</v>
      </c>
      <c r="C151" t="inlineStr">
        <is>
          <t>T125</t>
        </is>
      </c>
      <c r="D151" t="n">
        <v>69</v>
      </c>
      <c r="E151" t="inlineStr">
        <is>
          <t>Reparacion/Falla de camaras de madereo</t>
        </is>
      </c>
      <c r="F151" t="inlineStr">
        <is>
          <t>Operacional</t>
        </is>
      </c>
      <c r="G151" t="n">
        <v>120</v>
      </c>
      <c r="H151" t="inlineStr"/>
    </row>
    <row r="152">
      <c r="A152" t="inlineStr">
        <is>
          <t>17-05-2026</t>
        </is>
      </c>
      <c r="B152" t="n">
        <v>827917</v>
      </c>
      <c r="C152" t="inlineStr">
        <is>
          <t>T125</t>
        </is>
      </c>
      <c r="D152" t="n">
        <v>66</v>
      </c>
      <c r="E152" t="inlineStr">
        <is>
          <t>Recuperacion</t>
        </is>
      </c>
      <c r="F152" t="inlineStr">
        <is>
          <t>Operacional</t>
        </is>
      </c>
      <c r="G152" t="n">
        <v>300</v>
      </c>
      <c r="H152" t="inlineStr">
        <is>
          <t>Remate de un esc al final de linea 3 de madereo esc 4, el remate en esc 788</t>
        </is>
      </c>
    </row>
    <row r="153">
      <c r="A153" t="inlineStr">
        <is>
          <t>17-05-2026</t>
        </is>
      </c>
      <c r="B153" t="n">
        <v>827921</v>
      </c>
      <c r="C153" t="inlineStr">
        <is>
          <t>TEA08</t>
        </is>
      </c>
      <c r="D153" t="n">
        <v>22</v>
      </c>
      <c r="E153" t="inlineStr">
        <is>
          <t>Falta/abstecimiento de combustible equipo de proce</t>
        </is>
      </c>
      <c r="F153" t="inlineStr">
        <is>
          <t>Operacional</t>
        </is>
      </c>
      <c r="G153" t="n">
        <v>60</v>
      </c>
      <c r="H153" t="inlineStr">
        <is>
          <t>Traslado de equipos a zona de cargio combustible por camino en mal estado</t>
        </is>
      </c>
    </row>
    <row r="154">
      <c r="A154" t="inlineStr">
        <is>
          <t>17-05-2026</t>
        </is>
      </c>
      <c r="B154" t="n">
        <v>827921</v>
      </c>
      <c r="C154" t="inlineStr">
        <is>
          <t>TEA08</t>
        </is>
      </c>
      <c r="D154" t="n">
        <v>10</v>
      </c>
      <c r="E154" t="inlineStr">
        <is>
          <t>Mantencion equipo de trozado</t>
        </is>
      </c>
      <c r="F154" t="inlineStr">
        <is>
          <t>Operacional</t>
        </is>
      </c>
      <c r="G154" t="n">
        <v>60</v>
      </c>
      <c r="H154" t="inlineStr">
        <is>
          <t>Cambio sellos a cilindro de cuchillos</t>
        </is>
      </c>
    </row>
    <row r="155">
      <c r="A155" t="inlineStr">
        <is>
          <t>17-05-2026</t>
        </is>
      </c>
      <c r="B155" t="n">
        <v>827939</v>
      </c>
      <c r="C155" t="inlineStr">
        <is>
          <t>S223</t>
        </is>
      </c>
      <c r="D155" t="n">
        <v>14</v>
      </c>
      <c r="E155" t="inlineStr">
        <is>
          <t>Traslados otro predio</t>
        </is>
      </c>
      <c r="F155" t="inlineStr">
        <is>
          <t>Operacional</t>
        </is>
      </c>
      <c r="G155" t="n">
        <v>180</v>
      </c>
      <c r="H155" t="inlineStr">
        <is>
          <t>Traslado 3 hrs</t>
        </is>
      </c>
    </row>
    <row r="156">
      <c r="A156" t="inlineStr">
        <is>
          <t>17-05-2026</t>
        </is>
      </c>
      <c r="B156" t="n">
        <v>827945</v>
      </c>
      <c r="C156" t="inlineStr">
        <is>
          <t>TEA02</t>
        </is>
      </c>
      <c r="D156" t="n">
        <v>42</v>
      </c>
      <c r="E156" t="inlineStr">
        <is>
          <t>Descanso/Pausa programada</t>
        </is>
      </c>
      <c r="F156" t="inlineStr">
        <is>
          <t>Proceso</t>
        </is>
      </c>
      <c r="G156" t="n">
        <v>30</v>
      </c>
      <c r="H156" t="inlineStr">
        <is>
          <t>Pausa activa</t>
        </is>
      </c>
    </row>
    <row r="157">
      <c r="A157" t="inlineStr">
        <is>
          <t>18-05-2026</t>
        </is>
      </c>
      <c r="B157" t="n">
        <v>828020</v>
      </c>
      <c r="C157" t="inlineStr">
        <is>
          <t>S123</t>
        </is>
      </c>
      <c r="D157" t="n">
        <v>43</v>
      </c>
      <c r="E157" t="inlineStr">
        <is>
          <t>Colacion</t>
        </is>
      </c>
      <c r="F157" t="inlineStr">
        <is>
          <t>Proceso</t>
        </is>
      </c>
      <c r="G157" t="n">
        <v>60</v>
      </c>
      <c r="H157" t="inlineStr">
        <is>
          <t>Colacion</t>
        </is>
      </c>
    </row>
    <row r="158">
      <c r="A158" t="inlineStr">
        <is>
          <t>18-05-2026</t>
        </is>
      </c>
      <c r="B158" t="n">
        <v>828020</v>
      </c>
      <c r="C158" t="inlineStr">
        <is>
          <t>S123</t>
        </is>
      </c>
      <c r="D158" t="n">
        <v>2</v>
      </c>
      <c r="E158" t="inlineStr">
        <is>
          <t>Reparacion/Falla de equipo de madereo</t>
        </is>
      </c>
      <c r="F158" t="inlineStr">
        <is>
          <t>Mantención</t>
        </is>
      </c>
      <c r="G158" t="n">
        <v>300</v>
      </c>
      <c r="H158" t="inlineStr">
        <is>
          <t>Reparacion neumatico skidder</t>
        </is>
      </c>
    </row>
    <row r="159">
      <c r="A159" t="inlineStr">
        <is>
          <t>18-05-2026</t>
        </is>
      </c>
      <c r="B159" t="n">
        <v>828032</v>
      </c>
      <c r="C159" t="inlineStr">
        <is>
          <t>T125</t>
        </is>
      </c>
      <c r="D159" t="n">
        <v>3</v>
      </c>
      <c r="E159" t="inlineStr">
        <is>
          <t xml:space="preserve"> Reparacion/Falla de carro de madereo</t>
        </is>
      </c>
      <c r="F159" t="inlineStr">
        <is>
          <t>Mantención</t>
        </is>
      </c>
      <c r="G159" t="n">
        <v>540</v>
      </c>
      <c r="H159" t="inlineStr"/>
    </row>
    <row r="160">
      <c r="A160" t="inlineStr">
        <is>
          <t>18-05-2026</t>
        </is>
      </c>
      <c r="B160" t="n">
        <v>828053</v>
      </c>
      <c r="C160" t="inlineStr">
        <is>
          <t>S246</t>
        </is>
      </c>
      <c r="D160" t="n">
        <v>4</v>
      </c>
      <c r="E160" t="inlineStr">
        <is>
          <t>Reparacion/Falla equipo de Trozado</t>
        </is>
      </c>
      <c r="F160" t="inlineStr">
        <is>
          <t>Mantención</t>
        </is>
      </c>
      <c r="G160" t="n">
        <v>30</v>
      </c>
      <c r="H160" t="inlineStr">
        <is>
          <t>Abastesimiento de combustible</t>
        </is>
      </c>
    </row>
    <row r="161">
      <c r="A161" t="inlineStr">
        <is>
          <t>18-05-2026</t>
        </is>
      </c>
      <c r="B161" t="n">
        <v>828053</v>
      </c>
      <c r="C161" t="inlineStr">
        <is>
          <t>S246</t>
        </is>
      </c>
      <c r="D161" t="n">
        <v>4</v>
      </c>
      <c r="E161" t="inlineStr">
        <is>
          <t>Reparacion/Falla equipo de Trozado</t>
        </is>
      </c>
      <c r="F161" t="inlineStr">
        <is>
          <t>Mantención</t>
        </is>
      </c>
      <c r="G161" t="n">
        <v>30</v>
      </c>
      <c r="H161" t="inlineStr">
        <is>
          <t>Afilado y csmbio de cadenss</t>
        </is>
      </c>
    </row>
    <row r="162">
      <c r="A162" t="inlineStr">
        <is>
          <t>18-05-2026</t>
        </is>
      </c>
      <c r="B162" t="n">
        <v>828065</v>
      </c>
      <c r="C162" t="inlineStr">
        <is>
          <t>TEA02</t>
        </is>
      </c>
      <c r="D162" t="n">
        <v>42</v>
      </c>
      <c r="E162" t="inlineStr">
        <is>
          <t>Descanso/Pausa programada</t>
        </is>
      </c>
      <c r="F162" t="inlineStr">
        <is>
          <t>Proceso</t>
        </is>
      </c>
      <c r="G162" t="n">
        <v>30</v>
      </c>
      <c r="H162" t="inlineStr">
        <is>
          <t>Pausa activa</t>
        </is>
      </c>
    </row>
    <row r="163">
      <c r="A163" t="inlineStr">
        <is>
          <t>18-05-2026</t>
        </is>
      </c>
      <c r="B163" t="n">
        <v>828081</v>
      </c>
      <c r="C163" t="inlineStr">
        <is>
          <t>TEA08</t>
        </is>
      </c>
      <c r="D163" t="n">
        <v>4</v>
      </c>
      <c r="E163" t="inlineStr">
        <is>
          <t>Reparacion/Falla equipo de Trozado</t>
        </is>
      </c>
      <c r="F163" t="inlineStr">
        <is>
          <t>Mantención</t>
        </is>
      </c>
      <c r="G163" t="n">
        <v>120</v>
      </c>
      <c r="H163" t="inlineStr">
        <is>
          <t>Falla pistón de porta espada</t>
        </is>
      </c>
    </row>
    <row r="164">
      <c r="A164" t="inlineStr">
        <is>
          <t>18-05-2026</t>
        </is>
      </c>
      <c r="B164" t="n">
        <v>828081</v>
      </c>
      <c r="C164" t="inlineStr">
        <is>
          <t>TEA08</t>
        </is>
      </c>
      <c r="D164" t="n">
        <v>22</v>
      </c>
      <c r="E164" t="inlineStr">
        <is>
          <t>Falta/abstecimiento de combustible equipo de proce</t>
        </is>
      </c>
      <c r="F164" t="inlineStr">
        <is>
          <t>Operacional</t>
        </is>
      </c>
      <c r="G164" t="n">
        <v>60</v>
      </c>
      <c r="H164" t="inlineStr">
        <is>
          <t>Traslado de equipos a zona de cargio combustible por camino mal estado</t>
        </is>
      </c>
    </row>
    <row r="165">
      <c r="A165" t="inlineStr">
        <is>
          <t>18-05-2026</t>
        </is>
      </c>
      <c r="B165" t="n">
        <v>828097</v>
      </c>
      <c r="C165" t="inlineStr">
        <is>
          <t>S58</t>
        </is>
      </c>
      <c r="D165" t="n">
        <v>41</v>
      </c>
      <c r="E165" t="inlineStr">
        <is>
          <t>Detencion por visitas</t>
        </is>
      </c>
      <c r="F165" t="inlineStr">
        <is>
          <t>Operacional</t>
        </is>
      </c>
      <c r="G165" t="n">
        <v>120</v>
      </c>
      <c r="H165" t="inlineStr">
        <is>
          <t>Visita auditoria  fsc</t>
        </is>
      </c>
    </row>
    <row r="166">
      <c r="A166" t="inlineStr">
        <is>
          <t>18-05-2026</t>
        </is>
      </c>
      <c r="B166" t="n">
        <v>828114</v>
      </c>
      <c r="C166" t="inlineStr">
        <is>
          <t>S223</t>
        </is>
      </c>
      <c r="D166" t="n">
        <v>1</v>
      </c>
      <c r="E166" t="inlineStr">
        <is>
          <t>Reparacion/Falla equipo de volteo</t>
        </is>
      </c>
      <c r="F166" t="inlineStr">
        <is>
          <t>Mantención</t>
        </is>
      </c>
      <c r="G166" t="n">
        <v>120</v>
      </c>
      <c r="H166" t="inlineStr">
        <is>
          <t>Madereo desde 350 metros</t>
        </is>
      </c>
    </row>
    <row r="167">
      <c r="A167" t="inlineStr">
        <is>
          <t>19-05-2026</t>
        </is>
      </c>
      <c r="B167" t="n">
        <v>828152</v>
      </c>
      <c r="C167" t="inlineStr">
        <is>
          <t>S58</t>
        </is>
      </c>
      <c r="D167" t="n">
        <v>13</v>
      </c>
      <c r="E167" t="inlineStr">
        <is>
          <t>Traslados dentro del predio (cancha, sector)</t>
        </is>
      </c>
      <c r="F167" t="inlineStr">
        <is>
          <t>Operacional</t>
        </is>
      </c>
      <c r="G167" t="n">
        <v>300</v>
      </c>
      <c r="H167" t="inlineStr">
        <is>
          <t>Traslado de escenario no se pudo trozar po fslta de espacio y didtancia de realizo volteo</t>
        </is>
      </c>
    </row>
    <row r="168">
      <c r="A168" t="inlineStr">
        <is>
          <t>19-05-2026</t>
        </is>
      </c>
      <c r="B168" t="n">
        <v>828153</v>
      </c>
      <c r="C168" t="inlineStr">
        <is>
          <t>S223</t>
        </is>
      </c>
      <c r="D168" t="n">
        <v>4</v>
      </c>
      <c r="E168" t="inlineStr">
        <is>
          <t>Reparacion/Falla equipo de Trozado</t>
        </is>
      </c>
      <c r="F168" t="inlineStr">
        <is>
          <t>Mantención</t>
        </is>
      </c>
      <c r="G168" t="n">
        <v>300</v>
      </c>
      <c r="H168" t="inlineStr">
        <is>
          <t>Madereo desde 350 metros</t>
        </is>
      </c>
    </row>
    <row r="169">
      <c r="A169" t="inlineStr">
        <is>
          <t>19-05-2026</t>
        </is>
      </c>
      <c r="B169" t="n">
        <v>828165</v>
      </c>
      <c r="C169" t="inlineStr">
        <is>
          <t>S123</t>
        </is>
      </c>
      <c r="D169" t="n">
        <v>43</v>
      </c>
      <c r="E169" t="inlineStr">
        <is>
          <t>Colacion</t>
        </is>
      </c>
      <c r="F169" t="inlineStr">
        <is>
          <t>Proceso</t>
        </is>
      </c>
      <c r="G169" t="n">
        <v>60</v>
      </c>
      <c r="H169" t="inlineStr">
        <is>
          <t>Colacion</t>
        </is>
      </c>
    </row>
    <row r="170">
      <c r="A170" t="inlineStr">
        <is>
          <t>19-05-2026</t>
        </is>
      </c>
      <c r="B170" t="n">
        <v>828165</v>
      </c>
      <c r="C170" t="inlineStr">
        <is>
          <t>S123</t>
        </is>
      </c>
      <c r="D170" t="n">
        <v>17</v>
      </c>
      <c r="E170" t="inlineStr">
        <is>
          <t>Falta de trozado</t>
        </is>
      </c>
      <c r="F170" t="inlineStr">
        <is>
          <t>Operacional</t>
        </is>
      </c>
      <c r="G170" t="n">
        <v>240</v>
      </c>
      <c r="H170" t="inlineStr">
        <is>
          <t>Falta de trozado por espera de madereo</t>
        </is>
      </c>
    </row>
    <row r="171">
      <c r="A171" t="inlineStr">
        <is>
          <t>19-05-2026</t>
        </is>
      </c>
      <c r="B171" t="n">
        <v>828183</v>
      </c>
      <c r="C171" t="inlineStr">
        <is>
          <t>S246</t>
        </is>
      </c>
      <c r="D171" t="n">
        <v>4</v>
      </c>
      <c r="E171" t="inlineStr">
        <is>
          <t>Reparacion/Falla equipo de Trozado</t>
        </is>
      </c>
      <c r="F171" t="inlineStr">
        <is>
          <t>Mantención</t>
        </is>
      </c>
      <c r="G171" t="n">
        <v>30</v>
      </c>
      <c r="H171" t="inlineStr">
        <is>
          <t>Absstesimiento de combustible</t>
        </is>
      </c>
    </row>
    <row r="172">
      <c r="A172" t="inlineStr">
        <is>
          <t>19-05-2026</t>
        </is>
      </c>
      <c r="B172" t="n">
        <v>828183</v>
      </c>
      <c r="C172" t="inlineStr">
        <is>
          <t>S246</t>
        </is>
      </c>
      <c r="D172" t="n">
        <v>4</v>
      </c>
      <c r="E172" t="inlineStr">
        <is>
          <t>Reparacion/Falla equipo de Trozado</t>
        </is>
      </c>
      <c r="F172" t="inlineStr">
        <is>
          <t>Mantención</t>
        </is>
      </c>
      <c r="G172" t="n">
        <v>30</v>
      </c>
      <c r="H172" t="inlineStr">
        <is>
          <t>Afilado y cambio de cadenas</t>
        </is>
      </c>
    </row>
    <row r="173">
      <c r="A173" t="inlineStr">
        <is>
          <t>19-05-2026</t>
        </is>
      </c>
      <c r="B173" t="n">
        <v>828186</v>
      </c>
      <c r="C173" t="inlineStr">
        <is>
          <t>TEA08</t>
        </is>
      </c>
      <c r="D173" t="n">
        <v>22</v>
      </c>
      <c r="E173" t="inlineStr">
        <is>
          <t>Falta/abstecimiento de combustible equipo de proce</t>
        </is>
      </c>
      <c r="F173" t="inlineStr">
        <is>
          <t>Operacional</t>
        </is>
      </c>
      <c r="G173" t="n">
        <v>60</v>
      </c>
      <c r="H173" t="inlineStr">
        <is>
          <t>Traslado de equipos a zona cargio por camino mal estado</t>
        </is>
      </c>
    </row>
    <row r="174">
      <c r="A174" t="inlineStr">
        <is>
          <t>19-05-2026</t>
        </is>
      </c>
      <c r="B174" t="n">
        <v>828197</v>
      </c>
      <c r="C174" t="inlineStr">
        <is>
          <t>TEA02</t>
        </is>
      </c>
      <c r="D174" t="n">
        <v>42</v>
      </c>
      <c r="E174" t="inlineStr">
        <is>
          <t>Descanso/Pausa programada</t>
        </is>
      </c>
      <c r="F174" t="inlineStr">
        <is>
          <t>Proceso</t>
        </is>
      </c>
      <c r="G174" t="n">
        <v>30</v>
      </c>
      <c r="H174" t="inlineStr">
        <is>
          <t>Pausa activa</t>
        </is>
      </c>
    </row>
    <row r="175">
      <c r="A175" t="inlineStr">
        <is>
          <t>20-05-2026</t>
        </is>
      </c>
      <c r="B175" t="n">
        <v>828291</v>
      </c>
      <c r="C175" t="inlineStr">
        <is>
          <t>S123</t>
        </is>
      </c>
      <c r="D175" t="n">
        <v>7</v>
      </c>
      <c r="E175" t="inlineStr">
        <is>
          <t xml:space="preserve"> Mantencion equipo de volteo</t>
        </is>
      </c>
      <c r="F175" t="inlineStr">
        <is>
          <t>Operacional</t>
        </is>
      </c>
      <c r="G175" t="n">
        <v>420</v>
      </c>
      <c r="H175" t="inlineStr">
        <is>
          <t>Cambio de rodado de oruga</t>
        </is>
      </c>
    </row>
    <row r="176">
      <c r="A176" t="inlineStr">
        <is>
          <t>20-05-2026</t>
        </is>
      </c>
      <c r="B176" t="n">
        <v>828323</v>
      </c>
      <c r="C176" t="inlineStr">
        <is>
          <t>S246</t>
        </is>
      </c>
      <c r="D176" t="n">
        <v>4</v>
      </c>
      <c r="E176" t="inlineStr">
        <is>
          <t>Reparacion/Falla equipo de Trozado</t>
        </is>
      </c>
      <c r="F176" t="inlineStr">
        <is>
          <t>Mantención</t>
        </is>
      </c>
      <c r="G176" t="n">
        <v>30</v>
      </c>
      <c r="H176" t="inlineStr">
        <is>
          <t>Abastesimiento de combustible</t>
        </is>
      </c>
    </row>
    <row r="177">
      <c r="A177" t="inlineStr">
        <is>
          <t>20-05-2026</t>
        </is>
      </c>
      <c r="B177" t="n">
        <v>828323</v>
      </c>
      <c r="C177" t="inlineStr">
        <is>
          <t>S246</t>
        </is>
      </c>
      <c r="D177" t="n">
        <v>4</v>
      </c>
      <c r="E177" t="inlineStr">
        <is>
          <t>Reparacion/Falla equipo de Trozado</t>
        </is>
      </c>
      <c r="F177" t="inlineStr">
        <is>
          <t>Mantención</t>
        </is>
      </c>
      <c r="G177" t="n">
        <v>30</v>
      </c>
      <c r="H177" t="inlineStr">
        <is>
          <t>Afilado y cambio de cadenas</t>
        </is>
      </c>
    </row>
    <row r="178">
      <c r="A178" t="inlineStr">
        <is>
          <t>20-05-2026</t>
        </is>
      </c>
      <c r="B178" t="n">
        <v>828343</v>
      </c>
      <c r="C178" t="inlineStr">
        <is>
          <t>S58</t>
        </is>
      </c>
      <c r="D178" t="n">
        <v>18</v>
      </c>
      <c r="E178" t="inlineStr">
        <is>
          <t>Falta de volteo o desrame</t>
        </is>
      </c>
      <c r="F178" t="inlineStr">
        <is>
          <t>Operacional</t>
        </is>
      </c>
      <c r="G178" t="n">
        <v>120</v>
      </c>
      <c r="H178" t="inlineStr">
        <is>
          <t>Falta volteo por distancia de seguridad</t>
        </is>
      </c>
    </row>
    <row r="179">
      <c r="A179" t="inlineStr">
        <is>
          <t>20-05-2026</t>
        </is>
      </c>
      <c r="B179" t="n">
        <v>828350</v>
      </c>
      <c r="C179" t="inlineStr">
        <is>
          <t>T125</t>
        </is>
      </c>
      <c r="D179" t="n">
        <v>61</v>
      </c>
      <c r="E179" t="inlineStr">
        <is>
          <t>Detenido por apoyo a otro equipo</t>
        </is>
      </c>
      <c r="F179" t="inlineStr">
        <is>
          <t>Operacional</t>
        </is>
      </c>
      <c r="G179" t="n">
        <v>120</v>
      </c>
      <c r="H179" t="inlineStr"/>
    </row>
    <row r="180">
      <c r="A180" t="inlineStr">
        <is>
          <t>20-05-2026</t>
        </is>
      </c>
      <c r="B180" t="n">
        <v>828365</v>
      </c>
      <c r="C180" t="inlineStr">
        <is>
          <t>S223</t>
        </is>
      </c>
      <c r="D180" t="n">
        <v>1</v>
      </c>
      <c r="E180" t="inlineStr">
        <is>
          <t>Reparacion/Falla equipo de volteo</t>
        </is>
      </c>
      <c r="F180" t="inlineStr">
        <is>
          <t>Mantención</t>
        </is>
      </c>
      <c r="G180" t="n">
        <v>360</v>
      </c>
      <c r="H180" t="inlineStr">
        <is>
          <t>Equipo garra r77 falto que arrumar pulpa 300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zoomScaleNormal="100" workbookViewId="0">
      <selection activeCell="K20" sqref="K20"/>
    </sheetView>
  </sheetViews>
  <sheetFormatPr baseColWidth="10" defaultColWidth="8.6640625" defaultRowHeight="15"/>
  <cols>
    <col width="14" customWidth="1" style="150" min="1" max="4"/>
    <col width="22" customWidth="1" style="150" min="6" max="7"/>
  </cols>
  <sheetData>
    <row r="1" ht="24" customHeight="1" s="150">
      <c r="A1" s="275" t="inlineStr">
        <is>
          <t>TABLAS DE ANÁLISIS — BASE PARA GRÁFICOS DEL DASHBOARD</t>
        </is>
      </c>
    </row>
    <row r="3" ht="15" customHeight="1" s="150">
      <c r="A3" s="274" t="inlineStr">
        <is>
          <t>VOLUMEN Y RENDIMIENTO POR EQUIPO</t>
        </is>
      </c>
      <c r="B3" s="268" t="n"/>
      <c r="C3" s="268" t="n"/>
      <c r="D3" s="268" t="n"/>
      <c r="F3" s="274" t="inlineStr">
        <is>
          <t>CLASIFICACIÓN TM</t>
        </is>
      </c>
      <c r="G3" s="268" t="n"/>
    </row>
    <row r="4" ht="15" customHeight="1" s="150">
      <c r="A4" s="6" t="inlineStr">
        <is>
          <t>Equipo</t>
        </is>
      </c>
      <c r="B4" s="6" t="inlineStr">
        <is>
          <t>Volumen m³SSC</t>
        </is>
      </c>
      <c r="C4" s="6" t="inlineStr">
        <is>
          <t>m³/Hora</t>
        </is>
      </c>
      <c r="D4" s="6" t="inlineStr">
        <is>
          <t>Disp. %</t>
        </is>
      </c>
      <c r="F4" s="6" t="inlineStr">
        <is>
          <t>Clasificación</t>
        </is>
      </c>
      <c r="G4" s="6" t="inlineStr">
        <is>
          <t>Minutos</t>
        </is>
      </c>
    </row>
    <row r="5" ht="15" customHeight="1" s="150">
      <c r="A5" s="37" t="inlineStr">
        <is>
          <t>T125</t>
        </is>
      </c>
      <c r="B5" s="38">
        <f>SUMIFS(DATOS_PROD!L:L,DATOS_PROD!C:C,A5)</f>
        <v/>
      </c>
      <c r="C5" s="38">
        <f>IF(SUMIFS(DATOS_PROD!I:I,DATOS_PROD!C:C,A5)=0,0,ROUND(B5/SUMIFS(DATOS_PROD!I:I,DATOS_PROD!C:C,A5),2))</f>
        <v/>
      </c>
      <c r="D5" s="38">
        <f>ROUND(AVERAGEIFS(DATOS_PROD!O:O,DATOS_PROD!C:C,A5),1)</f>
        <v/>
      </c>
      <c r="F5" s="39" t="inlineStr">
        <is>
          <t>Mantención</t>
        </is>
      </c>
      <c r="G5" s="40">
        <f>SUMIFS(TIEMPOS_PERDIDOS!G:G,TIEMPOS_PERDIDOS!F:F,F5)</f>
        <v/>
      </c>
    </row>
    <row r="6" ht="15" customHeight="1" s="150">
      <c r="A6" s="41" t="inlineStr">
        <is>
          <t>MG5</t>
        </is>
      </c>
      <c r="B6" s="42">
        <f>SUMIFS(DATOS_PROD!L:L,DATOS_PROD!C:C,A6)</f>
        <v/>
      </c>
      <c r="C6" s="42">
        <f>IF(SUMIFS(DATOS_PROD!I:I,DATOS_PROD!C:C,A6)=0,0,ROUND(B6/SUMIFS(DATOS_PROD!I:I,DATOS_PROD!C:C,A6),2))</f>
        <v/>
      </c>
      <c r="D6" s="42">
        <f>ROUND(AVERAGEIFS(DATOS_PROD!O:O,DATOS_PROD!C:C,A6),1)</f>
        <v/>
      </c>
      <c r="F6" s="43" t="inlineStr">
        <is>
          <t>Operacional</t>
        </is>
      </c>
      <c r="G6" s="44">
        <f>SUMIFS(TIEMPOS_PERDIDOS!G:G,TIEMPOS_PERDIDOS!F:F,F6)</f>
        <v/>
      </c>
    </row>
    <row r="8" ht="15" customHeight="1" s="150">
      <c r="A8" s="274" t="inlineStr">
        <is>
          <t>PARETO DE TIEMPOS PERDIDOS</t>
        </is>
      </c>
      <c r="B8" s="268" t="n"/>
      <c r="C8" s="268" t="n"/>
      <c r="D8" s="268" t="n"/>
    </row>
    <row r="9" ht="15" customHeight="1" s="150">
      <c r="A9" s="6" t="inlineStr">
        <is>
          <t>Causa</t>
        </is>
      </c>
      <c r="B9" s="6" t="inlineStr">
        <is>
          <t>Min. Perdidos</t>
        </is>
      </c>
      <c r="C9" s="6" t="inlineStr">
        <is>
          <t>% Total</t>
        </is>
      </c>
      <c r="D9" s="6" t="inlineStr">
        <is>
          <t>Acumulado %</t>
        </is>
      </c>
    </row>
    <row r="10" ht="15" customHeight="1" s="150">
      <c r="A10" s="45" t="inlineStr">
        <is>
          <t>Sobre Shoveleo</t>
        </is>
      </c>
      <c r="B10" s="46">
        <f>SUMIFS(TIEMPOS_PERDIDOS!G:G,TIEMPOS_PERDIDOS!E:E,A10)</f>
        <v/>
      </c>
      <c r="C10" s="47">
        <f>IF(SUM(TIEMPOS_PERDIDOS!G:G)=0,0,B10/SUM(TIEMPOS_PERDIDOS!G:G))</f>
        <v/>
      </c>
      <c r="D10" s="47">
        <f>C10</f>
        <v/>
      </c>
    </row>
    <row r="11" ht="15" customHeight="1" s="150">
      <c r="A11" s="48" t="inlineStr">
        <is>
          <t>Reparacion/Falla equipo de Trozado</t>
        </is>
      </c>
      <c r="B11" s="49">
        <f>SUMIFS(TIEMPOS_PERDIDOS!G:G,TIEMPOS_PERDIDOS!E:E,A11)</f>
        <v/>
      </c>
      <c r="C11" s="50">
        <f>IF(SUM(TIEMPOS_PERDIDOS!G:G)=0,0,B11/SUM(TIEMPOS_PERDIDOS!G:G))</f>
        <v/>
      </c>
      <c r="D11" s="50">
        <f>D10+C11</f>
        <v/>
      </c>
    </row>
  </sheetData>
  <mergeCells count="4">
    <mergeCell ref="F3:G3"/>
    <mergeCell ref="A3:D3"/>
    <mergeCell ref="A8:D8"/>
    <mergeCell ref="A1:H1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53"/>
  <sheetViews>
    <sheetView workbookViewId="0">
      <selection activeCell="A1" sqref="A1"/>
    </sheetView>
  </sheetViews>
  <sheetFormatPr baseColWidth="8" defaultRowHeight="15"/>
  <sheetData>
    <row r="1">
      <c r="A1" s="276" t="inlineStr">
        <is>
          <t>Dia</t>
        </is>
      </c>
      <c r="B1" s="276" t="inlineStr">
        <is>
          <t>Team</t>
        </is>
      </c>
      <c r="C1" s="276" t="inlineStr">
        <is>
          <t>Vol_m3</t>
        </is>
      </c>
      <c r="D1" s="276" t="inlineStr">
        <is>
          <t>Hrs_Ef</t>
        </is>
      </c>
      <c r="E1" s="276" t="inlineStr">
        <is>
          <t>Arboles</t>
        </is>
      </c>
      <c r="F1" s="276" t="inlineStr">
        <is>
          <t>Ciclos</t>
        </is>
      </c>
      <c r="G1" s="276" t="inlineStr">
        <is>
          <t>TM_Mant</t>
        </is>
      </c>
      <c r="H1" s="276" t="inlineStr">
        <is>
          <t>TM_Oper</t>
        </is>
      </c>
      <c r="I1" s="276" t="inlineStr">
        <is>
          <t>TM_PP</t>
        </is>
      </c>
      <c r="J1" s="276" t="inlineStr">
        <is>
          <t>TM_Total</t>
        </is>
      </c>
      <c r="K1" s="276" t="inlineStr">
        <is>
          <t>Especie</t>
        </is>
      </c>
      <c r="L1" s="276" t="inlineStr">
        <is>
          <t>Predio</t>
        </is>
      </c>
    </row>
    <row r="2">
      <c r="A2" t="n">
        <v>1</v>
      </c>
      <c r="B2" t="inlineStr">
        <is>
          <t>Millalemu 1.1</t>
        </is>
      </c>
      <c r="C2" t="n">
        <v>272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inlineStr">
        <is>
          <t>PIRA</t>
        </is>
      </c>
      <c r="L2" t="inlineStr">
        <is>
          <t>EL CABRITO CBB</t>
        </is>
      </c>
    </row>
    <row r="3">
      <c r="A3" t="n">
        <v>1</v>
      </c>
      <c r="B3" t="inlineStr">
        <is>
          <t>Millalemu 11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660</v>
      </c>
      <c r="J3" t="n">
        <v>660</v>
      </c>
      <c r="K3" t="inlineStr">
        <is>
          <t>EUGL</t>
        </is>
      </c>
      <c r="L3" t="inlineStr">
        <is>
          <t>POLHUIN</t>
        </is>
      </c>
    </row>
    <row r="4">
      <c r="A4" t="n">
        <v>1</v>
      </c>
      <c r="B4" t="inlineStr">
        <is>
          <t>Millalemu 5</t>
        </is>
      </c>
      <c r="C4" t="n">
        <v>0</v>
      </c>
      <c r="D4" t="n">
        <v>0</v>
      </c>
      <c r="E4" t="n">
        <v>0</v>
      </c>
      <c r="F4" t="n">
        <v>1</v>
      </c>
      <c r="G4" t="n">
        <v>0</v>
      </c>
      <c r="H4" t="n">
        <v>0</v>
      </c>
      <c r="I4" t="n">
        <v>660</v>
      </c>
      <c r="J4" t="n">
        <v>660</v>
      </c>
      <c r="K4" t="inlineStr">
        <is>
          <t>PIRA</t>
        </is>
      </c>
      <c r="L4" t="inlineStr">
        <is>
          <t>CE-27 ESPINALILLO YBAR</t>
        </is>
      </c>
    </row>
    <row r="5">
      <c r="A5" t="n">
        <v>1</v>
      </c>
      <c r="B5" t="inlineStr">
        <is>
          <t>Millalemu 7</t>
        </is>
      </c>
      <c r="C5" t="n">
        <v>244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660</v>
      </c>
      <c r="J5" t="n">
        <v>660</v>
      </c>
      <c r="K5" t="inlineStr">
        <is>
          <t>PIRA</t>
        </is>
      </c>
      <c r="L5" t="inlineStr">
        <is>
          <t>EL CABRITO CBB</t>
        </is>
      </c>
    </row>
    <row r="6">
      <c r="A6" t="n">
        <v>2</v>
      </c>
      <c r="B6" t="inlineStr">
        <is>
          <t>Millalemu 1.1</t>
        </is>
      </c>
      <c r="C6" t="n">
        <v>322.82</v>
      </c>
      <c r="D6" t="n">
        <v>64</v>
      </c>
      <c r="E6" t="n">
        <v>0</v>
      </c>
      <c r="F6" t="n">
        <v>362</v>
      </c>
      <c r="G6" t="n">
        <v>0</v>
      </c>
      <c r="H6" t="n">
        <v>60</v>
      </c>
      <c r="I6" t="n">
        <v>30</v>
      </c>
      <c r="J6" t="n">
        <v>90</v>
      </c>
      <c r="K6" t="inlineStr">
        <is>
          <t>PIRA</t>
        </is>
      </c>
      <c r="L6" t="inlineStr">
        <is>
          <t>EL CABRITO CBB</t>
        </is>
      </c>
    </row>
    <row r="7">
      <c r="A7" t="n">
        <v>2</v>
      </c>
      <c r="B7" t="inlineStr">
        <is>
          <t>Millalemu 1.2</t>
        </is>
      </c>
      <c r="C7" t="n">
        <v>214.65</v>
      </c>
      <c r="D7" t="n">
        <v>65</v>
      </c>
      <c r="E7" t="n">
        <v>0</v>
      </c>
      <c r="F7" t="n">
        <v>516</v>
      </c>
      <c r="G7" t="n">
        <v>0</v>
      </c>
      <c r="H7" t="n">
        <v>120</v>
      </c>
      <c r="I7" t="n">
        <v>0</v>
      </c>
      <c r="J7" t="n">
        <v>120</v>
      </c>
      <c r="K7" t="inlineStr">
        <is>
          <t>PIRA</t>
        </is>
      </c>
      <c r="L7" t="inlineStr">
        <is>
          <t>COIHUECO Y OTROS (BB)</t>
        </is>
      </c>
    </row>
    <row r="8">
      <c r="A8" t="n">
        <v>2</v>
      </c>
      <c r="B8" t="inlineStr">
        <is>
          <t>Millalemu 1.3</t>
        </is>
      </c>
      <c r="C8" t="n">
        <v>158.91</v>
      </c>
      <c r="D8" t="n">
        <v>24</v>
      </c>
      <c r="E8" t="n">
        <v>0</v>
      </c>
      <c r="F8" t="n">
        <v>104</v>
      </c>
      <c r="G8" t="n">
        <v>300</v>
      </c>
      <c r="H8" t="n">
        <v>0</v>
      </c>
      <c r="I8" t="n">
        <v>0</v>
      </c>
      <c r="J8" t="n">
        <v>300</v>
      </c>
      <c r="K8" t="inlineStr">
        <is>
          <t>PIRA</t>
        </is>
      </c>
      <c r="L8" t="inlineStr">
        <is>
          <t>LAS ULLOAS (BB)</t>
        </is>
      </c>
    </row>
    <row r="9">
      <c r="A9" t="n">
        <v>2</v>
      </c>
      <c r="B9" t="inlineStr">
        <is>
          <t>Millalemu 1.4</t>
        </is>
      </c>
      <c r="C9" t="n">
        <v>3.44</v>
      </c>
      <c r="D9" t="n">
        <v>9</v>
      </c>
      <c r="E9" t="n">
        <v>0</v>
      </c>
      <c r="F9" t="n">
        <v>9</v>
      </c>
      <c r="G9" t="n">
        <v>600</v>
      </c>
      <c r="H9" t="n">
        <v>0</v>
      </c>
      <c r="I9" t="n">
        <v>0</v>
      </c>
      <c r="J9" t="n">
        <v>600</v>
      </c>
      <c r="K9" t="inlineStr">
        <is>
          <t>PIRA</t>
        </is>
      </c>
      <c r="L9" t="inlineStr">
        <is>
          <t>COIHUECO Y OTROS (BB)</t>
        </is>
      </c>
    </row>
    <row r="10">
      <c r="A10" t="n">
        <v>2</v>
      </c>
      <c r="B10" t="inlineStr">
        <is>
          <t>Millalemu 11</t>
        </is>
      </c>
      <c r="C10" t="n">
        <v>181</v>
      </c>
      <c r="D10" t="n">
        <v>9</v>
      </c>
      <c r="E10" t="n">
        <v>0</v>
      </c>
      <c r="F10" t="n">
        <v>112</v>
      </c>
      <c r="G10" t="n">
        <v>0</v>
      </c>
      <c r="H10" t="n">
        <v>120</v>
      </c>
      <c r="I10" t="n">
        <v>0</v>
      </c>
      <c r="J10" t="n">
        <v>120</v>
      </c>
      <c r="K10" t="inlineStr">
        <is>
          <t>EUGL</t>
        </is>
      </c>
      <c r="L10" t="inlineStr">
        <is>
          <t>POLHUIN</t>
        </is>
      </c>
    </row>
    <row r="11">
      <c r="A11" t="n">
        <v>2</v>
      </c>
      <c r="B11" t="inlineStr">
        <is>
          <t>Millalemu 5</t>
        </is>
      </c>
      <c r="C11" t="n">
        <v>49.87</v>
      </c>
      <c r="D11" t="n">
        <v>15</v>
      </c>
      <c r="E11" t="n">
        <v>0</v>
      </c>
      <c r="F11" t="n">
        <v>51</v>
      </c>
      <c r="G11" t="n">
        <v>360</v>
      </c>
      <c r="H11" t="n">
        <v>0</v>
      </c>
      <c r="I11" t="n">
        <v>0</v>
      </c>
      <c r="J11" t="n">
        <v>360</v>
      </c>
      <c r="K11" t="inlineStr">
        <is>
          <t>PIRA</t>
        </is>
      </c>
      <c r="L11" t="inlineStr">
        <is>
          <t>CE-27 ESPINALILLO YBAR</t>
        </is>
      </c>
    </row>
    <row r="12">
      <c r="A12" t="n">
        <v>2</v>
      </c>
      <c r="B12" t="inlineStr">
        <is>
          <t>Millalemu 7</t>
        </is>
      </c>
      <c r="C12" t="n">
        <v>113.81</v>
      </c>
      <c r="D12" t="n">
        <v>21</v>
      </c>
      <c r="E12" t="n">
        <v>0</v>
      </c>
      <c r="F12" t="n">
        <v>156</v>
      </c>
      <c r="G12" t="n">
        <v>0</v>
      </c>
      <c r="H12" t="n">
        <v>0</v>
      </c>
      <c r="I12" t="n">
        <v>30</v>
      </c>
      <c r="J12" t="n">
        <v>30</v>
      </c>
      <c r="K12" t="inlineStr">
        <is>
          <t>EUGL</t>
        </is>
      </c>
      <c r="L12" t="inlineStr">
        <is>
          <t>LO MARJU CBB</t>
        </is>
      </c>
    </row>
    <row r="13">
      <c r="A13" t="n">
        <v>2</v>
      </c>
      <c r="B13" t="inlineStr">
        <is>
          <t>Millalemu 9</t>
        </is>
      </c>
      <c r="C13" t="n">
        <v>0</v>
      </c>
      <c r="D13" t="n">
        <v>0</v>
      </c>
      <c r="E13" t="n">
        <v>0</v>
      </c>
      <c r="F13" t="n">
        <v>0</v>
      </c>
      <c r="G13" t="n">
        <v>660</v>
      </c>
      <c r="H13" t="n">
        <v>0</v>
      </c>
      <c r="I13" t="n">
        <v>0</v>
      </c>
      <c r="J13" t="n">
        <v>660</v>
      </c>
      <c r="K13" t="inlineStr">
        <is>
          <t>PIRA</t>
        </is>
      </c>
      <c r="L13" t="inlineStr">
        <is>
          <t>COIHUECO Y OTROS (BB)</t>
        </is>
      </c>
    </row>
    <row r="14">
      <c r="A14" t="n">
        <v>3</v>
      </c>
      <c r="B14" t="inlineStr">
        <is>
          <t>Millalemu 1.1</t>
        </is>
      </c>
      <c r="C14" t="n">
        <v>282.86</v>
      </c>
      <c r="D14" t="n">
        <v>61.5</v>
      </c>
      <c r="E14" t="n">
        <v>0</v>
      </c>
      <c r="F14" t="n">
        <v>403</v>
      </c>
      <c r="G14" t="n">
        <v>180</v>
      </c>
      <c r="H14" t="n">
        <v>0</v>
      </c>
      <c r="I14" t="n">
        <v>0</v>
      </c>
      <c r="J14" t="n">
        <v>180</v>
      </c>
      <c r="K14" t="inlineStr">
        <is>
          <t>PIRA</t>
        </is>
      </c>
      <c r="L14" t="inlineStr">
        <is>
          <t>EL CABRITO CBB</t>
        </is>
      </c>
    </row>
    <row r="15">
      <c r="A15" t="n">
        <v>3</v>
      </c>
      <c r="B15" t="inlineStr">
        <is>
          <t>Millalemu 1.2</t>
        </is>
      </c>
      <c r="C15" t="n">
        <v>130.8</v>
      </c>
      <c r="D15" t="n">
        <v>52</v>
      </c>
      <c r="E15" t="n">
        <v>0</v>
      </c>
      <c r="F15" t="n">
        <v>234</v>
      </c>
      <c r="G15" t="n">
        <v>0</v>
      </c>
      <c r="H15" t="n">
        <v>120</v>
      </c>
      <c r="I15" t="n">
        <v>0</v>
      </c>
      <c r="J15" t="n">
        <v>120</v>
      </c>
      <c r="K15" t="inlineStr">
        <is>
          <t>PIRA</t>
        </is>
      </c>
      <c r="L15" t="inlineStr">
        <is>
          <t>COIHUECO Y OTROS (BB)</t>
        </is>
      </c>
    </row>
    <row r="16">
      <c r="A16" t="n">
        <v>3</v>
      </c>
      <c r="B16" t="inlineStr">
        <is>
          <t>Millalemu 1.3</t>
        </is>
      </c>
      <c r="C16" t="n">
        <v>146.31</v>
      </c>
      <c r="D16" t="n">
        <v>28</v>
      </c>
      <c r="E16" t="n">
        <v>0</v>
      </c>
      <c r="F16" t="n">
        <v>96</v>
      </c>
      <c r="G16" t="n">
        <v>240</v>
      </c>
      <c r="H16" t="n">
        <v>0</v>
      </c>
      <c r="I16" t="n">
        <v>0</v>
      </c>
      <c r="J16" t="n">
        <v>240</v>
      </c>
      <c r="K16" t="inlineStr">
        <is>
          <t>PIRA</t>
        </is>
      </c>
      <c r="L16" t="inlineStr">
        <is>
          <t>LAS ULLOAS (BB)</t>
        </is>
      </c>
    </row>
    <row r="17">
      <c r="A17" t="n">
        <v>3</v>
      </c>
      <c r="B17" t="inlineStr">
        <is>
          <t>Millalemu 1.4</t>
        </is>
      </c>
      <c r="C17" t="n">
        <v>10.3</v>
      </c>
      <c r="D17" t="n">
        <v>10</v>
      </c>
      <c r="E17" t="n">
        <v>0</v>
      </c>
      <c r="F17" t="n">
        <v>20</v>
      </c>
      <c r="G17" t="n">
        <v>600</v>
      </c>
      <c r="H17" t="n">
        <v>0</v>
      </c>
      <c r="I17" t="n">
        <v>0</v>
      </c>
      <c r="J17" t="n">
        <v>600</v>
      </c>
      <c r="K17" t="inlineStr">
        <is>
          <t>PIRA</t>
        </is>
      </c>
      <c r="L17" t="inlineStr">
        <is>
          <t>COIHUECO Y OTROS (BB)</t>
        </is>
      </c>
    </row>
    <row r="18">
      <c r="A18" t="n">
        <v>3</v>
      </c>
      <c r="B18" t="inlineStr">
        <is>
          <t>Millalemu 11</t>
        </is>
      </c>
      <c r="C18" t="n">
        <v>210.62</v>
      </c>
      <c r="D18" t="n">
        <v>10</v>
      </c>
      <c r="E18" t="n">
        <v>0</v>
      </c>
      <c r="F18" t="n">
        <v>125</v>
      </c>
      <c r="G18" t="n">
        <v>120</v>
      </c>
      <c r="H18" t="n">
        <v>0</v>
      </c>
      <c r="I18" t="n">
        <v>0</v>
      </c>
      <c r="J18" t="n">
        <v>120</v>
      </c>
      <c r="K18" t="inlineStr">
        <is>
          <t>EUGL</t>
        </is>
      </c>
      <c r="L18" t="inlineStr">
        <is>
          <t>POLHUIN</t>
        </is>
      </c>
    </row>
    <row r="19">
      <c r="A19" t="n">
        <v>3</v>
      </c>
      <c r="B19" t="inlineStr">
        <is>
          <t>Millalemu 5</t>
        </is>
      </c>
      <c r="C19" t="n">
        <v>115.47</v>
      </c>
      <c r="D19" t="n">
        <v>33</v>
      </c>
      <c r="E19" t="n">
        <v>0</v>
      </c>
      <c r="F19" t="n">
        <v>78</v>
      </c>
      <c r="G19" t="n">
        <v>0</v>
      </c>
      <c r="H19" t="n">
        <v>0</v>
      </c>
      <c r="I19" t="n">
        <v>0</v>
      </c>
      <c r="J19" t="n">
        <v>0</v>
      </c>
      <c r="K19" t="inlineStr">
        <is>
          <t>PIRA</t>
        </is>
      </c>
      <c r="L19" t="inlineStr">
        <is>
          <t>CE-27 ESPINALILLO YBAR</t>
        </is>
      </c>
    </row>
    <row r="20">
      <c r="A20" t="n">
        <v>3</v>
      </c>
      <c r="B20" t="inlineStr">
        <is>
          <t>Millalemu 7</t>
        </is>
      </c>
      <c r="C20" t="n">
        <v>162.44</v>
      </c>
      <c r="D20" t="n">
        <v>63</v>
      </c>
      <c r="E20" t="n">
        <v>0</v>
      </c>
      <c r="F20" t="n">
        <v>138</v>
      </c>
      <c r="G20" t="n">
        <v>0</v>
      </c>
      <c r="H20" t="n">
        <v>0</v>
      </c>
      <c r="I20" t="n">
        <v>30</v>
      </c>
      <c r="J20" t="n">
        <v>30</v>
      </c>
      <c r="K20" t="inlineStr">
        <is>
          <t>PIRA</t>
        </is>
      </c>
      <c r="L20" t="inlineStr">
        <is>
          <t>COIHUECO Y OTROS (BB)</t>
        </is>
      </c>
    </row>
    <row r="21">
      <c r="A21" t="n">
        <v>3</v>
      </c>
      <c r="B21" t="inlineStr">
        <is>
          <t>Millalemu 9</t>
        </is>
      </c>
      <c r="C21" t="n">
        <v>0</v>
      </c>
      <c r="D21" t="n">
        <v>0</v>
      </c>
      <c r="E21" t="n">
        <v>0</v>
      </c>
      <c r="F21" t="n">
        <v>0</v>
      </c>
      <c r="G21" t="n">
        <v>660</v>
      </c>
      <c r="H21" t="n">
        <v>0</v>
      </c>
      <c r="I21" t="n">
        <v>0</v>
      </c>
      <c r="J21" t="n">
        <v>660</v>
      </c>
      <c r="K21" t="inlineStr">
        <is>
          <t>PIRA</t>
        </is>
      </c>
      <c r="L21" t="inlineStr">
        <is>
          <t>COIHUECO Y OTROS (BB)</t>
        </is>
      </c>
    </row>
    <row r="22">
      <c r="A22" t="n">
        <v>4</v>
      </c>
      <c r="B22" t="inlineStr">
        <is>
          <t>Millalemu 1.1</t>
        </is>
      </c>
      <c r="C22" t="n">
        <v>150.27</v>
      </c>
      <c r="D22" t="n">
        <v>69</v>
      </c>
      <c r="E22" t="n">
        <v>0</v>
      </c>
      <c r="F22" t="n">
        <v>396</v>
      </c>
      <c r="G22" t="n">
        <v>150</v>
      </c>
      <c r="H22" t="n">
        <v>0</v>
      </c>
      <c r="I22" t="n">
        <v>0</v>
      </c>
      <c r="J22" t="n">
        <v>150</v>
      </c>
      <c r="K22" t="inlineStr">
        <is>
          <t>PIRA</t>
        </is>
      </c>
      <c r="L22" t="inlineStr">
        <is>
          <t>EL CABRITO CBB</t>
        </is>
      </c>
    </row>
    <row r="23">
      <c r="A23" t="n">
        <v>4</v>
      </c>
      <c r="B23" t="inlineStr">
        <is>
          <t>Millalemu 1.2</t>
        </is>
      </c>
      <c r="C23" t="n">
        <v>113.42</v>
      </c>
      <c r="D23" t="n">
        <v>30</v>
      </c>
      <c r="E23" t="n">
        <v>0</v>
      </c>
      <c r="F23" t="n">
        <v>171</v>
      </c>
      <c r="G23" t="n">
        <v>0</v>
      </c>
      <c r="H23" t="n">
        <v>360</v>
      </c>
      <c r="I23" t="n">
        <v>0</v>
      </c>
      <c r="J23" t="n">
        <v>360</v>
      </c>
      <c r="K23" t="inlineStr">
        <is>
          <t>PIRA</t>
        </is>
      </c>
      <c r="L23" t="inlineStr">
        <is>
          <t>COIHUECO Y OTROS (BB)</t>
        </is>
      </c>
    </row>
    <row r="24">
      <c r="A24" t="n">
        <v>4</v>
      </c>
      <c r="B24" t="inlineStr">
        <is>
          <t>Millalemu 1.3</t>
        </is>
      </c>
      <c r="C24" t="n">
        <v>140.54</v>
      </c>
      <c r="D24" t="n">
        <v>45</v>
      </c>
      <c r="E24" t="n">
        <v>0</v>
      </c>
      <c r="F24" t="n">
        <v>75</v>
      </c>
      <c r="G24" t="n">
        <v>0</v>
      </c>
      <c r="H24" t="n">
        <v>120</v>
      </c>
      <c r="I24" t="n">
        <v>0</v>
      </c>
      <c r="J24" t="n">
        <v>120</v>
      </c>
      <c r="K24" t="inlineStr">
        <is>
          <t>PIRA</t>
        </is>
      </c>
      <c r="L24" t="inlineStr">
        <is>
          <t>LAS ULLOAS (BB)</t>
        </is>
      </c>
    </row>
    <row r="25">
      <c r="A25" t="n">
        <v>4</v>
      </c>
      <c r="B25" t="inlineStr">
        <is>
          <t>Millalemu 1.4</t>
        </is>
      </c>
      <c r="C25" t="n">
        <v>8.01</v>
      </c>
      <c r="D25" t="n">
        <v>9</v>
      </c>
      <c r="E25" t="n">
        <v>0</v>
      </c>
      <c r="F25" t="n">
        <v>27</v>
      </c>
      <c r="G25" t="n">
        <v>600</v>
      </c>
      <c r="H25" t="n">
        <v>0</v>
      </c>
      <c r="I25" t="n">
        <v>0</v>
      </c>
      <c r="J25" t="n">
        <v>600</v>
      </c>
      <c r="K25" t="inlineStr">
        <is>
          <t>PIRA</t>
        </is>
      </c>
      <c r="L25" t="inlineStr">
        <is>
          <t>COIHUECO Y OTROS (BB)</t>
        </is>
      </c>
    </row>
    <row r="26">
      <c r="A26" t="n">
        <v>4</v>
      </c>
      <c r="B26" t="inlineStr">
        <is>
          <t>Millalemu 11</t>
        </is>
      </c>
      <c r="C26" t="n">
        <v>151.39</v>
      </c>
      <c r="D26" t="n">
        <v>11</v>
      </c>
      <c r="E26" t="n">
        <v>0</v>
      </c>
      <c r="F26" t="n">
        <v>112</v>
      </c>
      <c r="G26" t="n">
        <v>0</v>
      </c>
      <c r="H26" t="n">
        <v>0</v>
      </c>
      <c r="I26" t="n">
        <v>0</v>
      </c>
      <c r="J26" t="n">
        <v>0</v>
      </c>
      <c r="K26" t="inlineStr">
        <is>
          <t>EUGL</t>
        </is>
      </c>
      <c r="L26" t="inlineStr">
        <is>
          <t>POLHUIN</t>
        </is>
      </c>
    </row>
    <row r="27">
      <c r="A27" t="n">
        <v>4</v>
      </c>
      <c r="B27" t="inlineStr">
        <is>
          <t>Millalemu 5</t>
        </is>
      </c>
      <c r="C27" t="n">
        <v>148.62</v>
      </c>
      <c r="D27" t="n">
        <v>30</v>
      </c>
      <c r="E27" t="n">
        <v>0</v>
      </c>
      <c r="F27" t="n">
        <v>300</v>
      </c>
      <c r="G27" t="n">
        <v>0</v>
      </c>
      <c r="H27" t="n">
        <v>60</v>
      </c>
      <c r="I27" t="n">
        <v>0</v>
      </c>
      <c r="J27" t="n">
        <v>60</v>
      </c>
      <c r="K27" t="inlineStr">
        <is>
          <t>PIRA</t>
        </is>
      </c>
      <c r="L27" t="inlineStr">
        <is>
          <t>CE-27 ESPINALILLO YBAR</t>
        </is>
      </c>
    </row>
    <row r="28">
      <c r="A28" t="n">
        <v>4</v>
      </c>
      <c r="B28" t="inlineStr">
        <is>
          <t>Millalemu 7</t>
        </is>
      </c>
      <c r="C28" t="n">
        <v>123.19</v>
      </c>
      <c r="D28" t="n">
        <v>63</v>
      </c>
      <c r="E28" t="n">
        <v>0</v>
      </c>
      <c r="F28" t="n">
        <v>198</v>
      </c>
      <c r="G28" t="n">
        <v>0</v>
      </c>
      <c r="H28" t="n">
        <v>0</v>
      </c>
      <c r="I28" t="n">
        <v>30</v>
      </c>
      <c r="J28" t="n">
        <v>30</v>
      </c>
      <c r="K28" t="inlineStr">
        <is>
          <t>PIRA</t>
        </is>
      </c>
      <c r="L28" t="inlineStr">
        <is>
          <t>COIHUECO Y OTROS (BB)</t>
        </is>
      </c>
    </row>
    <row r="29">
      <c r="A29" t="n">
        <v>4</v>
      </c>
      <c r="B29" t="inlineStr">
        <is>
          <t>Millalemu 9</t>
        </is>
      </c>
      <c r="C29" t="n">
        <v>0</v>
      </c>
      <c r="D29" t="n">
        <v>0</v>
      </c>
      <c r="E29" t="n">
        <v>0</v>
      </c>
      <c r="F29" t="n">
        <v>0</v>
      </c>
      <c r="G29" t="n">
        <v>660</v>
      </c>
      <c r="H29" t="n">
        <v>0</v>
      </c>
      <c r="I29" t="n">
        <v>0</v>
      </c>
      <c r="J29" t="n">
        <v>660</v>
      </c>
      <c r="K29" t="inlineStr">
        <is>
          <t>PIRA</t>
        </is>
      </c>
      <c r="L29" t="inlineStr">
        <is>
          <t>COIHUECO Y OTROS (BB)</t>
        </is>
      </c>
    </row>
    <row r="30">
      <c r="A30" t="n">
        <v>5</v>
      </c>
      <c r="B30" t="inlineStr">
        <is>
          <t>Millalemu 1.1</t>
        </is>
      </c>
      <c r="C30" t="n">
        <v>237.64</v>
      </c>
      <c r="D30" t="n">
        <v>59</v>
      </c>
      <c r="E30" t="n">
        <v>0</v>
      </c>
      <c r="F30" t="n">
        <v>478</v>
      </c>
      <c r="G30" t="n">
        <v>0</v>
      </c>
      <c r="H30" t="n">
        <v>210</v>
      </c>
      <c r="I30" t="n">
        <v>0</v>
      </c>
      <c r="J30" t="n">
        <v>210</v>
      </c>
      <c r="K30" t="inlineStr">
        <is>
          <t>PIRA</t>
        </is>
      </c>
      <c r="L30" t="inlineStr">
        <is>
          <t>EL CABRITO CBB</t>
        </is>
      </c>
    </row>
    <row r="31">
      <c r="A31" t="n">
        <v>5</v>
      </c>
      <c r="B31" t="inlineStr">
        <is>
          <t>Millalemu 1.2</t>
        </is>
      </c>
      <c r="C31" t="n">
        <v>96.12</v>
      </c>
      <c r="D31" t="n">
        <v>63</v>
      </c>
      <c r="E31" t="n">
        <v>0</v>
      </c>
      <c r="F31" t="n">
        <v>225</v>
      </c>
      <c r="G31" t="n">
        <v>0</v>
      </c>
      <c r="H31" t="n">
        <v>240</v>
      </c>
      <c r="I31" t="n">
        <v>0</v>
      </c>
      <c r="J31" t="n">
        <v>240</v>
      </c>
      <c r="K31" t="inlineStr">
        <is>
          <t>PIRA</t>
        </is>
      </c>
      <c r="L31" t="inlineStr">
        <is>
          <t>COIHUECO Y OTROS (BB)</t>
        </is>
      </c>
    </row>
    <row r="32">
      <c r="A32" t="n">
        <v>5</v>
      </c>
      <c r="B32" t="inlineStr">
        <is>
          <t>Millalemu 1.3</t>
        </is>
      </c>
      <c r="C32" t="n">
        <v>161.14</v>
      </c>
      <c r="D32" t="n">
        <v>36</v>
      </c>
      <c r="E32" t="n">
        <v>0</v>
      </c>
      <c r="F32" t="n">
        <v>108</v>
      </c>
      <c r="G32" t="n">
        <v>0</v>
      </c>
      <c r="H32" t="n">
        <v>120</v>
      </c>
      <c r="I32" t="n">
        <v>0</v>
      </c>
      <c r="J32" t="n">
        <v>120</v>
      </c>
      <c r="K32" t="inlineStr">
        <is>
          <t>PIRA</t>
        </is>
      </c>
      <c r="L32" t="inlineStr">
        <is>
          <t>LAS ULLOAS (BB)</t>
        </is>
      </c>
    </row>
    <row r="33">
      <c r="A33" t="n">
        <v>5</v>
      </c>
      <c r="B33" t="inlineStr">
        <is>
          <t>Millalemu 1.4</t>
        </is>
      </c>
      <c r="C33" t="n">
        <v>355.86</v>
      </c>
      <c r="D33" t="n">
        <v>105</v>
      </c>
      <c r="E33" t="n">
        <v>0</v>
      </c>
      <c r="F33" t="n">
        <v>560</v>
      </c>
      <c r="G33" t="n">
        <v>30</v>
      </c>
      <c r="H33" t="n">
        <v>0</v>
      </c>
      <c r="I33" t="n">
        <v>0</v>
      </c>
      <c r="J33" t="n">
        <v>30</v>
      </c>
      <c r="K33" t="inlineStr">
        <is>
          <t>PIRA</t>
        </is>
      </c>
      <c r="L33" t="inlineStr">
        <is>
          <t>COIHUECO Y OTROS (BB)</t>
        </is>
      </c>
    </row>
    <row r="34">
      <c r="A34" t="n">
        <v>5</v>
      </c>
      <c r="B34" t="inlineStr">
        <is>
          <t>Millalemu 11</t>
        </is>
      </c>
      <c r="C34" t="n">
        <v>217.2</v>
      </c>
      <c r="D34" t="n">
        <v>11</v>
      </c>
      <c r="E34" t="n">
        <v>0</v>
      </c>
      <c r="F34" t="n">
        <v>141</v>
      </c>
      <c r="G34" t="n">
        <v>0</v>
      </c>
      <c r="H34" t="n">
        <v>0</v>
      </c>
      <c r="I34" t="n">
        <v>0</v>
      </c>
      <c r="J34" t="n">
        <v>0</v>
      </c>
      <c r="K34" t="inlineStr">
        <is>
          <t>EUGL</t>
        </is>
      </c>
      <c r="L34" t="inlineStr">
        <is>
          <t>POLHUIN</t>
        </is>
      </c>
    </row>
    <row r="35">
      <c r="A35" t="n">
        <v>5</v>
      </c>
      <c r="B35" t="inlineStr">
        <is>
          <t>Millalemu 5</t>
        </is>
      </c>
      <c r="C35" t="n">
        <v>213.46</v>
      </c>
      <c r="D35" t="n">
        <v>33</v>
      </c>
      <c r="E35" t="n">
        <v>0</v>
      </c>
      <c r="F35" t="n">
        <v>330</v>
      </c>
      <c r="G35" t="n">
        <v>0</v>
      </c>
      <c r="H35" t="n">
        <v>0</v>
      </c>
      <c r="I35" t="n">
        <v>0</v>
      </c>
      <c r="J35" t="n">
        <v>0</v>
      </c>
      <c r="K35" t="inlineStr">
        <is>
          <t>PIRA</t>
        </is>
      </c>
      <c r="L35" t="inlineStr">
        <is>
          <t>CE-27 ESPINALILLO YBAR</t>
        </is>
      </c>
    </row>
    <row r="36">
      <c r="A36" t="n">
        <v>5</v>
      </c>
      <c r="B36" t="inlineStr">
        <is>
          <t>Millalemu 7</t>
        </is>
      </c>
      <c r="C36" t="n">
        <v>156.02</v>
      </c>
      <c r="D36" t="n">
        <v>63</v>
      </c>
      <c r="E36" t="n">
        <v>0</v>
      </c>
      <c r="F36" t="n">
        <v>198</v>
      </c>
      <c r="G36" t="n">
        <v>0</v>
      </c>
      <c r="H36" t="n">
        <v>0</v>
      </c>
      <c r="I36" t="n">
        <v>30</v>
      </c>
      <c r="J36" t="n">
        <v>30</v>
      </c>
      <c r="K36" t="inlineStr">
        <is>
          <t>PIRA</t>
        </is>
      </c>
      <c r="L36" t="inlineStr">
        <is>
          <t>COIHUECO Y OTROS (BB)</t>
        </is>
      </c>
    </row>
    <row r="37">
      <c r="A37" t="n">
        <v>5</v>
      </c>
      <c r="B37" t="inlineStr">
        <is>
          <t>Millalemu 9</t>
        </is>
      </c>
      <c r="C37" t="n">
        <v>0</v>
      </c>
      <c r="D37" t="n">
        <v>0</v>
      </c>
      <c r="E37" t="n">
        <v>0</v>
      </c>
      <c r="F37" t="n">
        <v>0</v>
      </c>
      <c r="G37" t="n">
        <v>660</v>
      </c>
      <c r="H37" t="n">
        <v>0</v>
      </c>
      <c r="I37" t="n">
        <v>0</v>
      </c>
      <c r="J37" t="n">
        <v>660</v>
      </c>
      <c r="K37" t="inlineStr">
        <is>
          <t>PIRA</t>
        </is>
      </c>
      <c r="L37" t="inlineStr">
        <is>
          <t>COIHUECO Y OTROS (BB)</t>
        </is>
      </c>
    </row>
    <row r="38">
      <c r="A38" t="n">
        <v>6</v>
      </c>
      <c r="B38" t="inlineStr">
        <is>
          <t>Millalemu 1.1</t>
        </is>
      </c>
      <c r="C38" t="n">
        <v>291.32</v>
      </c>
      <c r="D38" t="n">
        <v>79</v>
      </c>
      <c r="E38" t="n">
        <v>0</v>
      </c>
      <c r="F38" t="n">
        <v>428</v>
      </c>
      <c r="G38" t="n">
        <v>0</v>
      </c>
      <c r="H38" t="n">
        <v>60</v>
      </c>
      <c r="I38" t="n">
        <v>30</v>
      </c>
      <c r="J38" t="n">
        <v>90</v>
      </c>
      <c r="K38" t="inlineStr">
        <is>
          <t>PIRA</t>
        </is>
      </c>
      <c r="L38" t="inlineStr">
        <is>
          <t>EL CABRITO CBB</t>
        </is>
      </c>
    </row>
    <row r="39">
      <c r="A39" t="n">
        <v>6</v>
      </c>
      <c r="B39" t="inlineStr">
        <is>
          <t>Millalemu 1.2</t>
        </is>
      </c>
      <c r="C39" t="n">
        <v>162.22</v>
      </c>
      <c r="D39" t="n">
        <v>76</v>
      </c>
      <c r="E39" t="n">
        <v>0</v>
      </c>
      <c r="F39" t="n">
        <v>387</v>
      </c>
      <c r="G39" t="n">
        <v>0</v>
      </c>
      <c r="H39" t="n">
        <v>120</v>
      </c>
      <c r="I39" t="n">
        <v>0</v>
      </c>
      <c r="J39" t="n">
        <v>120</v>
      </c>
      <c r="K39" t="inlineStr">
        <is>
          <t>PIRA</t>
        </is>
      </c>
      <c r="L39" t="inlineStr">
        <is>
          <t>COIHUECO Y OTROS (BB)</t>
        </is>
      </c>
    </row>
    <row r="40">
      <c r="A40" t="n">
        <v>6</v>
      </c>
      <c r="B40" t="inlineStr">
        <is>
          <t>Millalemu 1.3</t>
        </is>
      </c>
      <c r="C40" t="n">
        <v>23.3</v>
      </c>
      <c r="D40" t="n">
        <v>18</v>
      </c>
      <c r="E40" t="n">
        <v>0</v>
      </c>
      <c r="F40" t="n">
        <v>120</v>
      </c>
      <c r="G40" t="n">
        <v>0</v>
      </c>
      <c r="H40" t="n">
        <v>480</v>
      </c>
      <c r="I40" t="n">
        <v>0</v>
      </c>
      <c r="J40" t="n">
        <v>480</v>
      </c>
      <c r="K40" t="inlineStr">
        <is>
          <t>PIRA</t>
        </is>
      </c>
      <c r="L40" t="inlineStr">
        <is>
          <t>LAS ULLOAS (BB)</t>
        </is>
      </c>
    </row>
    <row r="41">
      <c r="A41" t="n">
        <v>6</v>
      </c>
      <c r="B41" t="inlineStr">
        <is>
          <t>Millalemu 1.4</t>
        </is>
      </c>
      <c r="C41" t="n">
        <v>234.98</v>
      </c>
      <c r="D41" t="n">
        <v>95</v>
      </c>
      <c r="E41" t="n">
        <v>0</v>
      </c>
      <c r="F41" t="n">
        <v>450</v>
      </c>
      <c r="G41" t="n">
        <v>90</v>
      </c>
      <c r="H41" t="n">
        <v>0</v>
      </c>
      <c r="I41" t="n">
        <v>0</v>
      </c>
      <c r="J41" t="n">
        <v>90</v>
      </c>
      <c r="K41" t="inlineStr">
        <is>
          <t>PIRA</t>
        </is>
      </c>
      <c r="L41" t="inlineStr">
        <is>
          <t>COIHUECO Y OTROS (BB)</t>
        </is>
      </c>
    </row>
    <row r="42">
      <c r="A42" t="n">
        <v>6</v>
      </c>
      <c r="B42" t="inlineStr">
        <is>
          <t>Millalemu 11</t>
        </is>
      </c>
      <c r="C42" t="n">
        <v>281.14</v>
      </c>
      <c r="D42" t="n">
        <v>11</v>
      </c>
      <c r="E42" t="n">
        <v>0</v>
      </c>
      <c r="F42" t="n">
        <v>142</v>
      </c>
      <c r="G42" t="n">
        <v>0</v>
      </c>
      <c r="H42" t="n">
        <v>0</v>
      </c>
      <c r="I42" t="n">
        <v>0</v>
      </c>
      <c r="J42" t="n">
        <v>0</v>
      </c>
      <c r="K42" t="inlineStr">
        <is>
          <t>EUGL</t>
        </is>
      </c>
      <c r="L42" t="inlineStr">
        <is>
          <t>POLHUIN</t>
        </is>
      </c>
    </row>
    <row r="43">
      <c r="A43" t="n">
        <v>6</v>
      </c>
      <c r="B43" t="inlineStr">
        <is>
          <t>Millalemu 5</t>
        </is>
      </c>
      <c r="C43" t="n">
        <v>174.57</v>
      </c>
      <c r="D43" t="n">
        <v>33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inlineStr">
        <is>
          <t>PIRA</t>
        </is>
      </c>
      <c r="L43" t="inlineStr">
        <is>
          <t>CE-27 ESPINALILLO YBAR</t>
        </is>
      </c>
    </row>
    <row r="44">
      <c r="A44" t="n">
        <v>6</v>
      </c>
      <c r="B44" t="inlineStr">
        <is>
          <t>Millalemu 7</t>
        </is>
      </c>
      <c r="C44" t="n">
        <v>127.36</v>
      </c>
      <c r="D44" t="n">
        <v>52.5</v>
      </c>
      <c r="E44" t="n">
        <v>0</v>
      </c>
      <c r="F44" t="n">
        <v>165</v>
      </c>
      <c r="G44" t="n">
        <v>0</v>
      </c>
      <c r="H44" t="n">
        <v>0</v>
      </c>
      <c r="I44" t="n">
        <v>30</v>
      </c>
      <c r="J44" t="n">
        <v>30</v>
      </c>
      <c r="K44" t="inlineStr">
        <is>
          <t>PIRA</t>
        </is>
      </c>
      <c r="L44" t="inlineStr">
        <is>
          <t>COIHUECO Y OTROS (BB)</t>
        </is>
      </c>
    </row>
    <row r="45">
      <c r="A45" t="n">
        <v>6</v>
      </c>
      <c r="B45" t="inlineStr">
        <is>
          <t>Millalemu 9</t>
        </is>
      </c>
      <c r="C45" t="n">
        <v>0</v>
      </c>
      <c r="D45" t="n">
        <v>0.5</v>
      </c>
      <c r="E45" t="n">
        <v>0</v>
      </c>
      <c r="F45" t="n">
        <v>2</v>
      </c>
      <c r="G45" t="n">
        <v>630</v>
      </c>
      <c r="H45" t="n">
        <v>0</v>
      </c>
      <c r="I45" t="n">
        <v>0</v>
      </c>
      <c r="J45" t="n">
        <v>630</v>
      </c>
      <c r="K45" t="inlineStr">
        <is>
          <t>PIRA</t>
        </is>
      </c>
      <c r="L45" t="inlineStr">
        <is>
          <t>COIHUECO Y OTROS (BB)</t>
        </is>
      </c>
    </row>
    <row r="46">
      <c r="A46" t="n">
        <v>7</v>
      </c>
      <c r="B46" t="inlineStr">
        <is>
          <t>Millalemu 1.1</t>
        </is>
      </c>
      <c r="C46" t="n">
        <v>299.26</v>
      </c>
      <c r="D46" t="n">
        <v>60.75</v>
      </c>
      <c r="E46" t="n">
        <v>0</v>
      </c>
      <c r="F46" t="n">
        <v>552</v>
      </c>
      <c r="G46" t="n">
        <v>0</v>
      </c>
      <c r="H46" t="n">
        <v>135</v>
      </c>
      <c r="I46" t="n">
        <v>30</v>
      </c>
      <c r="J46" t="n">
        <v>165</v>
      </c>
      <c r="K46" t="inlineStr">
        <is>
          <t>PIRA</t>
        </is>
      </c>
      <c r="L46" t="inlineStr">
        <is>
          <t>EL CABRITO CBB</t>
        </is>
      </c>
    </row>
    <row r="47">
      <c r="A47" t="n">
        <v>7</v>
      </c>
      <c r="B47" t="inlineStr">
        <is>
          <t>Millalemu 1.2</t>
        </is>
      </c>
      <c r="C47" t="n">
        <v>130.47</v>
      </c>
      <c r="D47" t="n">
        <v>63</v>
      </c>
      <c r="E47" t="n">
        <v>0</v>
      </c>
      <c r="F47" t="n">
        <v>238</v>
      </c>
      <c r="G47" t="n">
        <v>120</v>
      </c>
      <c r="H47" t="n">
        <v>0</v>
      </c>
      <c r="I47" t="n">
        <v>0</v>
      </c>
      <c r="J47" t="n">
        <v>120</v>
      </c>
      <c r="K47" t="inlineStr">
        <is>
          <t>PIRA</t>
        </is>
      </c>
      <c r="L47" t="inlineStr">
        <is>
          <t>COIHUECO Y OTROS (BB)</t>
        </is>
      </c>
    </row>
    <row r="48">
      <c r="A48" t="n">
        <v>7</v>
      </c>
      <c r="B48" t="inlineStr">
        <is>
          <t>Millalemu 1.3</t>
        </is>
      </c>
      <c r="C48" t="n">
        <v>33.12</v>
      </c>
      <c r="D48" t="n">
        <v>16</v>
      </c>
      <c r="E48" t="n">
        <v>0</v>
      </c>
      <c r="F48" t="n">
        <v>120</v>
      </c>
      <c r="G48" t="n">
        <v>0</v>
      </c>
      <c r="H48" t="n">
        <v>420</v>
      </c>
      <c r="I48" t="n">
        <v>0</v>
      </c>
      <c r="J48" t="n">
        <v>420</v>
      </c>
      <c r="K48" t="inlineStr">
        <is>
          <t>PIRA</t>
        </is>
      </c>
      <c r="L48" t="inlineStr">
        <is>
          <t>LAS ULLOAS (BB)</t>
        </is>
      </c>
    </row>
    <row r="49">
      <c r="A49" t="n">
        <v>7</v>
      </c>
      <c r="B49" t="inlineStr">
        <is>
          <t>Millalemu 1.4</t>
        </is>
      </c>
      <c r="C49" t="n">
        <v>211.73</v>
      </c>
      <c r="D49" t="n">
        <v>105</v>
      </c>
      <c r="E49" t="n">
        <v>0</v>
      </c>
      <c r="F49" t="n">
        <v>330</v>
      </c>
      <c r="G49" t="n">
        <v>30</v>
      </c>
      <c r="H49" t="n">
        <v>0</v>
      </c>
      <c r="I49" t="n">
        <v>0</v>
      </c>
      <c r="J49" t="n">
        <v>30</v>
      </c>
      <c r="K49" t="inlineStr">
        <is>
          <t>PIRA</t>
        </is>
      </c>
      <c r="L49" t="inlineStr">
        <is>
          <t>COIHUECO Y OTROS (BB)</t>
        </is>
      </c>
    </row>
    <row r="50">
      <c r="A50" t="n">
        <v>7</v>
      </c>
      <c r="B50" t="inlineStr">
        <is>
          <t>Millalemu 11</t>
        </is>
      </c>
      <c r="C50" t="n">
        <v>249.79</v>
      </c>
      <c r="D50" t="n">
        <v>9</v>
      </c>
      <c r="E50" t="n">
        <v>0</v>
      </c>
      <c r="F50" t="n">
        <v>133</v>
      </c>
      <c r="G50" t="n">
        <v>120</v>
      </c>
      <c r="H50" t="n">
        <v>0</v>
      </c>
      <c r="I50" t="n">
        <v>0</v>
      </c>
      <c r="J50" t="n">
        <v>120</v>
      </c>
      <c r="K50" t="inlineStr">
        <is>
          <t>EUGL</t>
        </is>
      </c>
      <c r="L50" t="inlineStr">
        <is>
          <t>POLHUIN</t>
        </is>
      </c>
    </row>
    <row r="51">
      <c r="A51" t="n">
        <v>7</v>
      </c>
      <c r="B51" t="inlineStr">
        <is>
          <t>Millalemu 5</t>
        </is>
      </c>
      <c r="C51" t="n">
        <v>174.34</v>
      </c>
      <c r="D51" t="n">
        <v>31.5</v>
      </c>
      <c r="E51" t="n">
        <v>0</v>
      </c>
      <c r="F51" t="n">
        <v>219</v>
      </c>
      <c r="G51" t="n">
        <v>0</v>
      </c>
      <c r="H51" t="n">
        <v>0</v>
      </c>
      <c r="I51" t="n">
        <v>30</v>
      </c>
      <c r="J51" t="n">
        <v>30</v>
      </c>
      <c r="K51" t="inlineStr">
        <is>
          <t>PIRA</t>
        </is>
      </c>
      <c r="L51" t="inlineStr">
        <is>
          <t>CE-27 ESPINALILLO YBAR</t>
        </is>
      </c>
    </row>
    <row r="52">
      <c r="A52" t="n">
        <v>7</v>
      </c>
      <c r="B52" t="inlineStr">
        <is>
          <t>Millalemu 7</t>
        </is>
      </c>
      <c r="C52" t="n">
        <v>109.13</v>
      </c>
      <c r="D52" t="n">
        <v>63</v>
      </c>
      <c r="E52" t="n">
        <v>0</v>
      </c>
      <c r="F52" t="n">
        <v>315</v>
      </c>
      <c r="G52" t="n">
        <v>0</v>
      </c>
      <c r="H52" t="n">
        <v>120</v>
      </c>
      <c r="I52" t="n">
        <v>0</v>
      </c>
      <c r="J52" t="n">
        <v>120</v>
      </c>
      <c r="K52" t="inlineStr">
        <is>
          <t>PIRA</t>
        </is>
      </c>
      <c r="L52" t="inlineStr">
        <is>
          <t>COIHUECO Y OTROS (BB)</t>
        </is>
      </c>
    </row>
    <row r="53">
      <c r="A53" t="n">
        <v>7</v>
      </c>
      <c r="B53" t="inlineStr">
        <is>
          <t>Millalemu 9</t>
        </is>
      </c>
      <c r="C53" t="n">
        <v>0</v>
      </c>
      <c r="D53" t="n">
        <v>0.5</v>
      </c>
      <c r="E53" t="n">
        <v>0</v>
      </c>
      <c r="F53" t="n">
        <v>35</v>
      </c>
      <c r="G53" t="n">
        <v>630</v>
      </c>
      <c r="H53" t="n">
        <v>0</v>
      </c>
      <c r="I53" t="n">
        <v>0</v>
      </c>
      <c r="J53" t="n">
        <v>630</v>
      </c>
      <c r="K53" t="inlineStr">
        <is>
          <t>PIRA</t>
        </is>
      </c>
      <c r="L53" t="inlineStr">
        <is>
          <t>COIHUECO Y OTROS (BB)</t>
        </is>
      </c>
    </row>
    <row r="54">
      <c r="A54" t="n">
        <v>8</v>
      </c>
      <c r="B54" t="inlineStr">
        <is>
          <t>Millalemu 1.1</t>
        </is>
      </c>
      <c r="C54" t="n">
        <v>194.03</v>
      </c>
      <c r="D54" t="n">
        <v>60.75</v>
      </c>
      <c r="E54" t="n">
        <v>0</v>
      </c>
      <c r="F54" t="n">
        <v>369</v>
      </c>
      <c r="G54" t="n">
        <v>0</v>
      </c>
      <c r="H54" t="n">
        <v>135</v>
      </c>
      <c r="I54" t="n">
        <v>30</v>
      </c>
      <c r="J54" t="n">
        <v>165</v>
      </c>
      <c r="K54" t="inlineStr">
        <is>
          <t>PIRA</t>
        </is>
      </c>
      <c r="L54" t="inlineStr">
        <is>
          <t>EL CABRITO CBB</t>
        </is>
      </c>
    </row>
    <row r="55">
      <c r="A55" t="n">
        <v>8</v>
      </c>
      <c r="B55" t="inlineStr">
        <is>
          <t>Millalemu 1.2</t>
        </is>
      </c>
      <c r="C55" t="n">
        <v>206.53</v>
      </c>
      <c r="D55" t="n">
        <v>72</v>
      </c>
      <c r="E55" t="n">
        <v>0</v>
      </c>
      <c r="F55" t="n">
        <v>320</v>
      </c>
      <c r="G55" t="n">
        <v>120</v>
      </c>
      <c r="H55" t="n">
        <v>0</v>
      </c>
      <c r="I55" t="n">
        <v>0</v>
      </c>
      <c r="J55" t="n">
        <v>120</v>
      </c>
      <c r="K55" t="inlineStr">
        <is>
          <t>PIRA</t>
        </is>
      </c>
      <c r="L55" t="inlineStr">
        <is>
          <t>COIHUECO Y OTROS (BB)</t>
        </is>
      </c>
    </row>
    <row r="56">
      <c r="A56" t="n">
        <v>8</v>
      </c>
      <c r="B56" t="inlineStr">
        <is>
          <t>Millalemu 1.3</t>
        </is>
      </c>
      <c r="C56" t="n">
        <v>87.01000000000001</v>
      </c>
      <c r="D56" t="n">
        <v>32</v>
      </c>
      <c r="E56" t="n">
        <v>0</v>
      </c>
      <c r="F56" t="n">
        <v>200</v>
      </c>
      <c r="G56" t="n">
        <v>0</v>
      </c>
      <c r="H56" t="n">
        <v>180</v>
      </c>
      <c r="I56" t="n">
        <v>0</v>
      </c>
      <c r="J56" t="n">
        <v>180</v>
      </c>
      <c r="K56" t="inlineStr">
        <is>
          <t>PIRA</t>
        </is>
      </c>
      <c r="L56" t="inlineStr">
        <is>
          <t>LAS ULLOAS (BB)</t>
        </is>
      </c>
    </row>
    <row r="57">
      <c r="A57" t="n">
        <v>8</v>
      </c>
      <c r="B57" t="inlineStr">
        <is>
          <t>Millalemu 1.4</t>
        </is>
      </c>
      <c r="C57" t="n">
        <v>145.54</v>
      </c>
      <c r="D57" t="n">
        <v>80</v>
      </c>
      <c r="E57" t="n">
        <v>0</v>
      </c>
      <c r="F57" t="n">
        <v>550</v>
      </c>
      <c r="G57" t="n">
        <v>0</v>
      </c>
      <c r="H57" t="n">
        <v>180</v>
      </c>
      <c r="I57" t="n">
        <v>0</v>
      </c>
      <c r="J57" t="n">
        <v>180</v>
      </c>
      <c r="K57" t="inlineStr">
        <is>
          <t>PIRA</t>
        </is>
      </c>
      <c r="L57" t="inlineStr">
        <is>
          <t>COIHUECO Y OTROS (BB)</t>
        </is>
      </c>
    </row>
    <row r="58">
      <c r="A58" t="n">
        <v>8</v>
      </c>
      <c r="B58" t="inlineStr">
        <is>
          <t>Millalemu 11</t>
        </is>
      </c>
      <c r="C58" t="n">
        <v>149.14</v>
      </c>
      <c r="D58" t="n">
        <v>18</v>
      </c>
      <c r="E58" t="n">
        <v>0</v>
      </c>
      <c r="F58" t="n">
        <v>202</v>
      </c>
      <c r="G58" t="n">
        <v>0</v>
      </c>
      <c r="H58" t="n">
        <v>120</v>
      </c>
      <c r="I58" t="n">
        <v>0</v>
      </c>
      <c r="J58" t="n">
        <v>120</v>
      </c>
      <c r="K58" t="inlineStr">
        <is>
          <t>EUGL</t>
        </is>
      </c>
      <c r="L58" t="inlineStr">
        <is>
          <t>POLHUIN</t>
        </is>
      </c>
    </row>
    <row r="59">
      <c r="A59" t="n">
        <v>8</v>
      </c>
      <c r="B59" t="inlineStr">
        <is>
          <t>Millalemu 5</t>
        </is>
      </c>
      <c r="C59" t="n">
        <v>117.31</v>
      </c>
      <c r="D59" t="n">
        <v>31.5</v>
      </c>
      <c r="E59" t="n">
        <v>0</v>
      </c>
      <c r="F59" t="n">
        <v>147</v>
      </c>
      <c r="G59" t="n">
        <v>0</v>
      </c>
      <c r="H59" t="n">
        <v>0</v>
      </c>
      <c r="I59" t="n">
        <v>30</v>
      </c>
      <c r="J59" t="n">
        <v>30</v>
      </c>
      <c r="K59" t="inlineStr">
        <is>
          <t>PIRA</t>
        </is>
      </c>
      <c r="L59" t="inlineStr">
        <is>
          <t>CE-27 ESPINALILLO YBAR</t>
        </is>
      </c>
    </row>
    <row r="60">
      <c r="A60" t="n">
        <v>8</v>
      </c>
      <c r="B60" t="inlineStr">
        <is>
          <t>Millalemu 7</t>
        </is>
      </c>
      <c r="C60" t="n">
        <v>137.99</v>
      </c>
      <c r="D60" t="n">
        <v>63</v>
      </c>
      <c r="E60" t="n">
        <v>0</v>
      </c>
      <c r="F60" t="n">
        <v>364</v>
      </c>
      <c r="G60" t="n">
        <v>0</v>
      </c>
      <c r="H60" t="n">
        <v>120</v>
      </c>
      <c r="I60" t="n">
        <v>0</v>
      </c>
      <c r="J60" t="n">
        <v>120</v>
      </c>
      <c r="K60" t="inlineStr">
        <is>
          <t>PIRA</t>
        </is>
      </c>
      <c r="L60" t="inlineStr">
        <is>
          <t>COIHUECO Y OTROS (BB)</t>
        </is>
      </c>
    </row>
    <row r="61">
      <c r="A61" t="n">
        <v>8</v>
      </c>
      <c r="B61" t="inlineStr">
        <is>
          <t>Millalemu 9</t>
        </is>
      </c>
      <c r="C61" t="n">
        <v>0</v>
      </c>
      <c r="D61" t="n">
        <v>0.5</v>
      </c>
      <c r="E61" t="n">
        <v>0</v>
      </c>
      <c r="F61" t="n">
        <v>37</v>
      </c>
      <c r="G61" t="n">
        <v>630</v>
      </c>
      <c r="H61" t="n">
        <v>0</v>
      </c>
      <c r="I61" t="n">
        <v>0</v>
      </c>
      <c r="J61" t="n">
        <v>630</v>
      </c>
      <c r="K61" t="inlineStr">
        <is>
          <t>PIRA</t>
        </is>
      </c>
      <c r="L61" t="inlineStr">
        <is>
          <t>COIHUECO Y OTROS (BB)</t>
        </is>
      </c>
    </row>
    <row r="62">
      <c r="A62" t="n">
        <v>9</v>
      </c>
      <c r="B62" t="inlineStr">
        <is>
          <t>Millalemu 1.1</t>
        </is>
      </c>
      <c r="C62" t="n">
        <v>35.72</v>
      </c>
      <c r="D62" t="n">
        <v>18</v>
      </c>
      <c r="E62" t="n">
        <v>0</v>
      </c>
      <c r="F62" t="n">
        <v>81</v>
      </c>
      <c r="G62" t="n">
        <v>0</v>
      </c>
      <c r="H62" t="n">
        <v>510</v>
      </c>
      <c r="I62" t="n">
        <v>30</v>
      </c>
      <c r="J62" t="n">
        <v>540</v>
      </c>
      <c r="K62" t="inlineStr">
        <is>
          <t>PIRA</t>
        </is>
      </c>
      <c r="L62" t="inlineStr">
        <is>
          <t>EL CABRITO CBB</t>
        </is>
      </c>
    </row>
    <row r="63">
      <c r="A63" t="n">
        <v>9</v>
      </c>
      <c r="B63" t="inlineStr">
        <is>
          <t>Millalemu 1.2</t>
        </is>
      </c>
      <c r="C63" t="n">
        <v>192.42</v>
      </c>
      <c r="D63" t="n">
        <v>72</v>
      </c>
      <c r="E63" t="n">
        <v>0</v>
      </c>
      <c r="F63" t="n">
        <v>400</v>
      </c>
      <c r="G63" t="n">
        <v>120</v>
      </c>
      <c r="H63" t="n">
        <v>0</v>
      </c>
      <c r="I63" t="n">
        <v>0</v>
      </c>
      <c r="J63" t="n">
        <v>120</v>
      </c>
      <c r="K63" t="inlineStr">
        <is>
          <t>PIRA</t>
        </is>
      </c>
      <c r="L63" t="inlineStr">
        <is>
          <t>COIHUECO Y OTROS (BB)</t>
        </is>
      </c>
    </row>
    <row r="64">
      <c r="A64" t="n">
        <v>9</v>
      </c>
      <c r="B64" t="inlineStr">
        <is>
          <t>Millalemu 1.3</t>
        </is>
      </c>
      <c r="C64" t="n">
        <v>131.97</v>
      </c>
      <c r="D64" t="n">
        <v>30</v>
      </c>
      <c r="E64" t="n">
        <v>0</v>
      </c>
      <c r="F64" t="n">
        <v>250</v>
      </c>
      <c r="G64" t="n">
        <v>0</v>
      </c>
      <c r="H64" t="n">
        <v>300</v>
      </c>
      <c r="I64" t="n">
        <v>0</v>
      </c>
      <c r="J64" t="n">
        <v>300</v>
      </c>
      <c r="K64" t="inlineStr">
        <is>
          <t>PIRA</t>
        </is>
      </c>
      <c r="L64" t="inlineStr">
        <is>
          <t>LAS ULLOAS (BB)</t>
        </is>
      </c>
    </row>
    <row r="65">
      <c r="A65" t="n">
        <v>9</v>
      </c>
      <c r="B65" t="inlineStr">
        <is>
          <t>Millalemu 1.4</t>
        </is>
      </c>
      <c r="C65" t="n">
        <v>131.08</v>
      </c>
      <c r="D65" t="n">
        <v>62.5</v>
      </c>
      <c r="E65" t="n">
        <v>0</v>
      </c>
      <c r="F65" t="n">
        <v>330</v>
      </c>
      <c r="G65" t="n">
        <v>0</v>
      </c>
      <c r="H65" t="n">
        <v>300</v>
      </c>
      <c r="I65" t="n">
        <v>0</v>
      </c>
      <c r="J65" t="n">
        <v>300</v>
      </c>
      <c r="K65" t="inlineStr">
        <is>
          <t>PIRA</t>
        </is>
      </c>
      <c r="L65" t="inlineStr">
        <is>
          <t>COIHUECO Y OTROS (BB)</t>
        </is>
      </c>
    </row>
    <row r="66">
      <c r="A66" t="n">
        <v>9</v>
      </c>
      <c r="B66" t="inlineStr">
        <is>
          <t>Millalemu 11</t>
        </is>
      </c>
      <c r="C66" t="n">
        <v>219.64</v>
      </c>
      <c r="D66" t="n">
        <v>22</v>
      </c>
      <c r="E66" t="n">
        <v>0</v>
      </c>
      <c r="F66" t="n">
        <v>316</v>
      </c>
      <c r="G66" t="n">
        <v>0</v>
      </c>
      <c r="H66" t="n">
        <v>0</v>
      </c>
      <c r="I66" t="n">
        <v>0</v>
      </c>
      <c r="J66" t="n">
        <v>0</v>
      </c>
      <c r="K66" t="inlineStr">
        <is>
          <t>EUGL</t>
        </is>
      </c>
      <c r="L66" t="inlineStr">
        <is>
          <t>POLHUIN</t>
        </is>
      </c>
    </row>
    <row r="67">
      <c r="A67" t="n">
        <v>9</v>
      </c>
      <c r="B67" t="inlineStr">
        <is>
          <t>Millalemu 5</t>
        </is>
      </c>
      <c r="C67" t="n">
        <v>202.96</v>
      </c>
      <c r="D67" t="n">
        <v>31.5</v>
      </c>
      <c r="E67" t="n">
        <v>0</v>
      </c>
      <c r="F67" t="n">
        <v>30</v>
      </c>
      <c r="G67" t="n">
        <v>0</v>
      </c>
      <c r="H67" t="n">
        <v>0</v>
      </c>
      <c r="I67" t="n">
        <v>30</v>
      </c>
      <c r="J67" t="n">
        <v>30</v>
      </c>
      <c r="K67" t="inlineStr">
        <is>
          <t>PIRA</t>
        </is>
      </c>
      <c r="L67" t="inlineStr">
        <is>
          <t>CE-27 ESPINALILLO YBAR</t>
        </is>
      </c>
    </row>
    <row r="68">
      <c r="A68" t="n">
        <v>9</v>
      </c>
      <c r="B68" t="inlineStr">
        <is>
          <t>Millalemu 7</t>
        </is>
      </c>
      <c r="C68" t="n">
        <v>100.83</v>
      </c>
      <c r="D68" t="n">
        <v>54</v>
      </c>
      <c r="E68" t="n">
        <v>0</v>
      </c>
      <c r="F68" t="n">
        <v>336</v>
      </c>
      <c r="G68" t="n">
        <v>0</v>
      </c>
      <c r="H68" t="n">
        <v>120</v>
      </c>
      <c r="I68" t="n">
        <v>0</v>
      </c>
      <c r="J68" t="n">
        <v>120</v>
      </c>
      <c r="K68" t="inlineStr">
        <is>
          <t>PIRA</t>
        </is>
      </c>
      <c r="L68" t="inlineStr">
        <is>
          <t>COIHUECO Y OTROS (BB)</t>
        </is>
      </c>
    </row>
    <row r="69">
      <c r="A69" t="n">
        <v>9</v>
      </c>
      <c r="B69" t="inlineStr">
        <is>
          <t>Millalemu 9</t>
        </is>
      </c>
      <c r="C69" t="n">
        <v>10.64</v>
      </c>
      <c r="D69" t="n">
        <v>12</v>
      </c>
      <c r="E69" t="n">
        <v>0</v>
      </c>
      <c r="F69" t="n">
        <v>50</v>
      </c>
      <c r="G69" t="n">
        <v>300</v>
      </c>
      <c r="H69" t="n">
        <v>0</v>
      </c>
      <c r="I69" t="n">
        <v>0</v>
      </c>
      <c r="J69" t="n">
        <v>300</v>
      </c>
      <c r="K69" t="inlineStr">
        <is>
          <t>PIRA</t>
        </is>
      </c>
      <c r="L69" t="inlineStr">
        <is>
          <t>COIHUECO Y OTROS (BB)</t>
        </is>
      </c>
    </row>
    <row r="70">
      <c r="A70" t="n">
        <v>10</v>
      </c>
      <c r="B70" t="inlineStr">
        <is>
          <t>Millalemu 1.1</t>
        </is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630</v>
      </c>
      <c r="I70" t="n">
        <v>30</v>
      </c>
      <c r="J70" t="n">
        <v>660</v>
      </c>
      <c r="K70" t="inlineStr">
        <is>
          <t>PIRA</t>
        </is>
      </c>
      <c r="L70" t="inlineStr">
        <is>
          <t>EL CABRITO CBB</t>
        </is>
      </c>
    </row>
    <row r="71">
      <c r="A71" t="n">
        <v>10</v>
      </c>
      <c r="B71" t="inlineStr">
        <is>
          <t>Millalemu 1.2</t>
        </is>
      </c>
      <c r="C71" t="n">
        <v>272.62</v>
      </c>
      <c r="D71" t="n">
        <v>80</v>
      </c>
      <c r="E71" t="n">
        <v>0</v>
      </c>
      <c r="F71" t="n">
        <v>400</v>
      </c>
      <c r="G71" t="n">
        <v>60</v>
      </c>
      <c r="H71" t="n">
        <v>0</v>
      </c>
      <c r="I71" t="n">
        <v>0</v>
      </c>
      <c r="J71" t="n">
        <v>60</v>
      </c>
      <c r="K71" t="inlineStr">
        <is>
          <t>PIRA</t>
        </is>
      </c>
      <c r="L71" t="inlineStr">
        <is>
          <t>COIHUECO Y OTROS (BB)</t>
        </is>
      </c>
    </row>
    <row r="72">
      <c r="A72" t="n">
        <v>10</v>
      </c>
      <c r="B72" t="inlineStr">
        <is>
          <t>Millalemu 1.3</t>
        </is>
      </c>
      <c r="C72" t="n">
        <v>114.82</v>
      </c>
      <c r="D72" t="n">
        <v>40</v>
      </c>
      <c r="E72" t="n">
        <v>0</v>
      </c>
      <c r="F72" t="n">
        <v>35</v>
      </c>
      <c r="G72" t="n">
        <v>0</v>
      </c>
      <c r="H72" t="n">
        <v>180</v>
      </c>
      <c r="I72" t="n">
        <v>0</v>
      </c>
      <c r="J72" t="n">
        <v>180</v>
      </c>
      <c r="K72" t="inlineStr">
        <is>
          <t>PIRA</t>
        </is>
      </c>
      <c r="L72" t="inlineStr">
        <is>
          <t>LAS ULLOAS (BB)</t>
        </is>
      </c>
    </row>
    <row r="73">
      <c r="A73" t="n">
        <v>10</v>
      </c>
      <c r="B73" t="inlineStr">
        <is>
          <t>Millalemu 1.4</t>
        </is>
      </c>
      <c r="C73" t="n">
        <v>140.18</v>
      </c>
      <c r="D73" t="n">
        <v>80</v>
      </c>
      <c r="E73" t="n">
        <v>0</v>
      </c>
      <c r="F73" t="n">
        <v>300</v>
      </c>
      <c r="G73" t="n">
        <v>0</v>
      </c>
      <c r="H73" t="n">
        <v>180</v>
      </c>
      <c r="I73" t="n">
        <v>0</v>
      </c>
      <c r="J73" t="n">
        <v>180</v>
      </c>
      <c r="K73" t="inlineStr">
        <is>
          <t>PIRA</t>
        </is>
      </c>
      <c r="L73" t="inlineStr">
        <is>
          <t>COIHUECO Y OTROS (BB)</t>
        </is>
      </c>
    </row>
    <row r="74">
      <c r="A74" t="n">
        <v>10</v>
      </c>
      <c r="B74" t="inlineStr">
        <is>
          <t>Millalemu 11</t>
        </is>
      </c>
      <c r="C74" t="n">
        <v>91.81999999999999</v>
      </c>
      <c r="D74" t="n">
        <v>14</v>
      </c>
      <c r="E74" t="n">
        <v>0</v>
      </c>
      <c r="F74" t="n">
        <v>194</v>
      </c>
      <c r="G74" t="n">
        <v>0</v>
      </c>
      <c r="H74" t="n">
        <v>240</v>
      </c>
      <c r="I74" t="n">
        <v>0</v>
      </c>
      <c r="J74" t="n">
        <v>240</v>
      </c>
      <c r="K74" t="inlineStr">
        <is>
          <t>EUGL</t>
        </is>
      </c>
      <c r="L74" t="inlineStr">
        <is>
          <t>POLHUIN</t>
        </is>
      </c>
    </row>
    <row r="75">
      <c r="A75" t="n">
        <v>10</v>
      </c>
      <c r="B75" t="inlineStr">
        <is>
          <t>Millalemu 5</t>
        </is>
      </c>
      <c r="C75" t="n">
        <v>220.55</v>
      </c>
      <c r="D75" t="n">
        <v>31.5</v>
      </c>
      <c r="E75" t="n">
        <v>0</v>
      </c>
      <c r="F75" t="n">
        <v>228</v>
      </c>
      <c r="G75" t="n">
        <v>0</v>
      </c>
      <c r="H75" t="n">
        <v>0</v>
      </c>
      <c r="I75" t="n">
        <v>30</v>
      </c>
      <c r="J75" t="n">
        <v>30</v>
      </c>
      <c r="K75" t="inlineStr">
        <is>
          <t>PIRA</t>
        </is>
      </c>
      <c r="L75" t="inlineStr">
        <is>
          <t>CE-27 ESPINALILLO YBAR</t>
        </is>
      </c>
    </row>
    <row r="76">
      <c r="A76" t="n">
        <v>10</v>
      </c>
      <c r="B76" t="inlineStr">
        <is>
          <t>Millalemu 7</t>
        </is>
      </c>
      <c r="C76" t="n">
        <v>126.62</v>
      </c>
      <c r="D76" t="n">
        <v>77</v>
      </c>
      <c r="E76" t="n">
        <v>0</v>
      </c>
      <c r="F76" t="n">
        <v>420</v>
      </c>
      <c r="G76" t="n">
        <v>0</v>
      </c>
      <c r="H76" t="n">
        <v>0</v>
      </c>
      <c r="I76" t="n">
        <v>0</v>
      </c>
      <c r="J76" t="n">
        <v>0</v>
      </c>
      <c r="K76" t="inlineStr">
        <is>
          <t>PIRA</t>
        </is>
      </c>
      <c r="L76" t="inlineStr">
        <is>
          <t>COIHUECO Y OTROS (BB)</t>
        </is>
      </c>
    </row>
    <row r="77">
      <c r="A77" t="n">
        <v>10</v>
      </c>
      <c r="B77" t="inlineStr">
        <is>
          <t>Millalemu 9</t>
        </is>
      </c>
      <c r="C77" t="n">
        <v>87.73999999999999</v>
      </c>
      <c r="D77" t="n">
        <v>30</v>
      </c>
      <c r="E77" t="n">
        <v>0</v>
      </c>
      <c r="F77" t="n">
        <v>105</v>
      </c>
      <c r="G77" t="n">
        <v>300</v>
      </c>
      <c r="H77" t="n">
        <v>0</v>
      </c>
      <c r="I77" t="n">
        <v>0</v>
      </c>
      <c r="J77" t="n">
        <v>300</v>
      </c>
      <c r="K77" t="inlineStr">
        <is>
          <t>PIRA</t>
        </is>
      </c>
      <c r="L77" t="inlineStr">
        <is>
          <t>COIHUECO Y OTROS (BB)</t>
        </is>
      </c>
    </row>
    <row r="78">
      <c r="A78" t="n">
        <v>11</v>
      </c>
      <c r="B78" t="inlineStr">
        <is>
          <t>Millalemu 1.1</t>
        </is>
      </c>
      <c r="C78" t="n">
        <v>0</v>
      </c>
      <c r="D78" t="n">
        <v>0</v>
      </c>
      <c r="E78" t="n">
        <v>0</v>
      </c>
      <c r="F78" t="n">
        <v>0</v>
      </c>
      <c r="G78" t="n">
        <v>0</v>
      </c>
      <c r="H78" t="n">
        <v>630</v>
      </c>
      <c r="I78" t="n">
        <v>30</v>
      </c>
      <c r="J78" t="n">
        <v>660</v>
      </c>
      <c r="K78" t="inlineStr">
        <is>
          <t>PIRA</t>
        </is>
      </c>
      <c r="L78" t="inlineStr">
        <is>
          <t>EL CABRITO CBB</t>
        </is>
      </c>
    </row>
    <row r="79">
      <c r="A79" t="n">
        <v>11</v>
      </c>
      <c r="B79" t="inlineStr">
        <is>
          <t>Millalemu 1.2</t>
        </is>
      </c>
      <c r="C79" t="n">
        <v>117.26</v>
      </c>
      <c r="D79" t="n">
        <v>64</v>
      </c>
      <c r="E79" t="n">
        <v>0</v>
      </c>
      <c r="F79" t="n">
        <v>200</v>
      </c>
      <c r="G79" t="n">
        <v>0</v>
      </c>
      <c r="H79" t="n">
        <v>180</v>
      </c>
      <c r="I79" t="n">
        <v>0</v>
      </c>
      <c r="J79" t="n">
        <v>180</v>
      </c>
      <c r="K79" t="inlineStr">
        <is>
          <t>PIRA</t>
        </is>
      </c>
      <c r="L79" t="inlineStr">
        <is>
          <t>COIHUECO Y OTROS (BB)</t>
        </is>
      </c>
    </row>
    <row r="80">
      <c r="A80" t="n">
        <v>11</v>
      </c>
      <c r="B80" t="inlineStr">
        <is>
          <t>Millalemu 1.3</t>
        </is>
      </c>
      <c r="C80" t="n">
        <v>147.46</v>
      </c>
      <c r="D80" t="n">
        <v>32</v>
      </c>
      <c r="E80" t="n">
        <v>0</v>
      </c>
      <c r="F80" t="n">
        <v>240</v>
      </c>
      <c r="G80" t="n">
        <v>0</v>
      </c>
      <c r="H80" t="n">
        <v>180</v>
      </c>
      <c r="I80" t="n">
        <v>0</v>
      </c>
      <c r="J80" t="n">
        <v>180</v>
      </c>
      <c r="K80" t="inlineStr">
        <is>
          <t>PIRA</t>
        </is>
      </c>
      <c r="L80" t="inlineStr">
        <is>
          <t>LAS ULLOAS (BB)</t>
        </is>
      </c>
    </row>
    <row r="81">
      <c r="A81" t="n">
        <v>11</v>
      </c>
      <c r="B81" t="inlineStr">
        <is>
          <t>Millalemu 1.4</t>
        </is>
      </c>
      <c r="C81" t="n">
        <v>0</v>
      </c>
      <c r="D81" t="n">
        <v>0</v>
      </c>
      <c r="E81" t="n">
        <v>0</v>
      </c>
      <c r="F81" t="n">
        <v>0</v>
      </c>
      <c r="G81" t="n">
        <v>0</v>
      </c>
      <c r="H81" t="n">
        <v>660</v>
      </c>
      <c r="I81" t="n">
        <v>0</v>
      </c>
      <c r="J81" t="n">
        <v>660</v>
      </c>
      <c r="K81" t="inlineStr">
        <is>
          <t>PIRA</t>
        </is>
      </c>
      <c r="L81" t="inlineStr">
        <is>
          <t>COIHUECO Y OTROS (BB)</t>
        </is>
      </c>
    </row>
    <row r="82">
      <c r="A82" t="n">
        <v>11</v>
      </c>
      <c r="B82" t="inlineStr">
        <is>
          <t>Millalemu 11</t>
        </is>
      </c>
      <c r="C82" t="n">
        <v>32.91</v>
      </c>
      <c r="D82" t="n">
        <v>6</v>
      </c>
      <c r="E82" t="n">
        <v>0</v>
      </c>
      <c r="F82" t="n">
        <v>74</v>
      </c>
      <c r="G82" t="n">
        <v>0</v>
      </c>
      <c r="H82" t="n">
        <v>480</v>
      </c>
      <c r="I82" t="n">
        <v>0</v>
      </c>
      <c r="J82" t="n">
        <v>480</v>
      </c>
      <c r="K82" t="inlineStr">
        <is>
          <t>EUGL</t>
        </is>
      </c>
      <c r="L82" t="inlineStr">
        <is>
          <t>POLHUIN</t>
        </is>
      </c>
    </row>
    <row r="83">
      <c r="A83" t="n">
        <v>11</v>
      </c>
      <c r="B83" t="inlineStr">
        <is>
          <t>Millalemu 5</t>
        </is>
      </c>
      <c r="C83" t="n">
        <v>220.44</v>
      </c>
      <c r="D83" t="n">
        <v>33</v>
      </c>
      <c r="E83" t="n">
        <v>0</v>
      </c>
      <c r="F83" t="n">
        <v>195</v>
      </c>
      <c r="G83" t="n">
        <v>0</v>
      </c>
      <c r="H83" t="n">
        <v>0</v>
      </c>
      <c r="I83" t="n">
        <v>0</v>
      </c>
      <c r="J83" t="n">
        <v>0</v>
      </c>
      <c r="K83" t="inlineStr">
        <is>
          <t>PIRA</t>
        </is>
      </c>
      <c r="L83" t="inlineStr">
        <is>
          <t>CE-27 ESPINALILLO YBAR</t>
        </is>
      </c>
    </row>
    <row r="84">
      <c r="A84" t="n">
        <v>11</v>
      </c>
      <c r="B84" t="inlineStr">
        <is>
          <t>Millalemu 7</t>
        </is>
      </c>
      <c r="C84" t="n">
        <v>54.46</v>
      </c>
      <c r="D84" t="n">
        <v>28</v>
      </c>
      <c r="E84" t="n">
        <v>0</v>
      </c>
      <c r="F84" t="n">
        <v>154</v>
      </c>
      <c r="G84" t="n">
        <v>0</v>
      </c>
      <c r="H84" t="n">
        <v>420</v>
      </c>
      <c r="I84" t="n">
        <v>0</v>
      </c>
      <c r="J84" t="n">
        <v>420</v>
      </c>
      <c r="K84" t="inlineStr">
        <is>
          <t>PIRA</t>
        </is>
      </c>
      <c r="L84" t="inlineStr">
        <is>
          <t>COIHUECO Y OTROS (BB)</t>
        </is>
      </c>
    </row>
    <row r="85">
      <c r="A85" t="n">
        <v>11</v>
      </c>
      <c r="B85" t="inlineStr">
        <is>
          <t>Millalemu 9</t>
        </is>
      </c>
      <c r="C85" t="n">
        <v>237</v>
      </c>
      <c r="D85" t="n">
        <v>81</v>
      </c>
      <c r="E85" t="n">
        <v>0</v>
      </c>
      <c r="F85" t="n">
        <v>450</v>
      </c>
      <c r="G85" t="n">
        <v>120</v>
      </c>
      <c r="H85" t="n">
        <v>0</v>
      </c>
      <c r="I85" t="n">
        <v>0</v>
      </c>
      <c r="J85" t="n">
        <v>120</v>
      </c>
      <c r="K85" t="inlineStr">
        <is>
          <t>PIRA</t>
        </is>
      </c>
      <c r="L85" t="inlineStr">
        <is>
          <t>COIHUECO Y OTROS (BB)</t>
        </is>
      </c>
    </row>
    <row r="86">
      <c r="A86" t="n">
        <v>12</v>
      </c>
      <c r="B86" t="inlineStr">
        <is>
          <t>Millalemu 1.1</t>
        </is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630</v>
      </c>
      <c r="I86" t="n">
        <v>30</v>
      </c>
      <c r="J86" t="n">
        <v>660</v>
      </c>
      <c r="K86" t="inlineStr">
        <is>
          <t>PIRA</t>
        </is>
      </c>
      <c r="L86" t="inlineStr">
        <is>
          <t>EL CABRITO CBB</t>
        </is>
      </c>
    </row>
    <row r="87">
      <c r="A87" t="n">
        <v>12</v>
      </c>
      <c r="B87" t="inlineStr">
        <is>
          <t>Millalemu 1.2</t>
        </is>
      </c>
      <c r="C87" t="n">
        <v>187.38</v>
      </c>
      <c r="D87" t="n">
        <v>90</v>
      </c>
      <c r="E87" t="n">
        <v>0</v>
      </c>
      <c r="F87" t="n">
        <v>350</v>
      </c>
      <c r="G87" t="n">
        <v>120</v>
      </c>
      <c r="H87" t="n">
        <v>0</v>
      </c>
      <c r="I87" t="n">
        <v>0</v>
      </c>
      <c r="J87" t="n">
        <v>120</v>
      </c>
      <c r="K87" t="inlineStr">
        <is>
          <t>PIRA</t>
        </is>
      </c>
      <c r="L87" t="inlineStr">
        <is>
          <t>COIHUECO Y OTROS (BB)</t>
        </is>
      </c>
    </row>
    <row r="88">
      <c r="A88" t="n">
        <v>12</v>
      </c>
      <c r="B88" t="inlineStr">
        <is>
          <t>Millalemu 1.3</t>
        </is>
      </c>
      <c r="C88" t="n">
        <v>118.27</v>
      </c>
      <c r="D88" t="n">
        <v>35</v>
      </c>
      <c r="E88" t="n">
        <v>0</v>
      </c>
      <c r="F88" t="n">
        <v>125</v>
      </c>
      <c r="G88" t="n">
        <v>0</v>
      </c>
      <c r="H88" t="n">
        <v>240</v>
      </c>
      <c r="I88" t="n">
        <v>0</v>
      </c>
      <c r="J88" t="n">
        <v>240</v>
      </c>
      <c r="K88" t="inlineStr">
        <is>
          <t>PIRA</t>
        </is>
      </c>
      <c r="L88" t="inlineStr">
        <is>
          <t>LAS ULLOAS (BB)</t>
        </is>
      </c>
    </row>
    <row r="89">
      <c r="A89" t="n">
        <v>12</v>
      </c>
      <c r="B89" t="inlineStr">
        <is>
          <t>Millalemu 1.4</t>
        </is>
      </c>
      <c r="C89" t="n">
        <v>89.17</v>
      </c>
      <c r="D89" t="n">
        <v>8</v>
      </c>
      <c r="E89" t="n">
        <v>0</v>
      </c>
      <c r="F89" t="n">
        <v>132</v>
      </c>
      <c r="G89" t="n">
        <v>0</v>
      </c>
      <c r="H89" t="n">
        <v>420</v>
      </c>
      <c r="I89" t="n">
        <v>0</v>
      </c>
      <c r="J89" t="n">
        <v>420</v>
      </c>
      <c r="K89" t="inlineStr">
        <is>
          <t>PIRA</t>
        </is>
      </c>
      <c r="L89" t="inlineStr">
        <is>
          <t>LAS MERCEDES C13</t>
        </is>
      </c>
    </row>
    <row r="90">
      <c r="A90" t="n">
        <v>12</v>
      </c>
      <c r="B90" t="inlineStr">
        <is>
          <t>Millalemu 11</t>
        </is>
      </c>
      <c r="C90" t="n">
        <v>139.39</v>
      </c>
      <c r="D90" t="n">
        <v>22</v>
      </c>
      <c r="E90" t="n">
        <v>0</v>
      </c>
      <c r="F90" t="n">
        <v>226</v>
      </c>
      <c r="G90" t="n">
        <v>0</v>
      </c>
      <c r="H90" t="n">
        <v>0</v>
      </c>
      <c r="I90" t="n">
        <v>0</v>
      </c>
      <c r="J90" t="n">
        <v>0</v>
      </c>
      <c r="K90" t="inlineStr">
        <is>
          <t>EUGL</t>
        </is>
      </c>
      <c r="L90" t="inlineStr">
        <is>
          <t>POLHUIN</t>
        </is>
      </c>
    </row>
    <row r="91">
      <c r="A91" t="n">
        <v>12</v>
      </c>
      <c r="B91" t="inlineStr">
        <is>
          <t>Millalemu 5</t>
        </is>
      </c>
      <c r="C91" t="n">
        <v>164.24</v>
      </c>
      <c r="D91" t="n">
        <v>44</v>
      </c>
      <c r="E91" t="n">
        <v>0</v>
      </c>
      <c r="F91" t="n">
        <v>180</v>
      </c>
      <c r="G91" t="n">
        <v>0</v>
      </c>
      <c r="H91" t="n">
        <v>0</v>
      </c>
      <c r="I91" t="n">
        <v>0</v>
      </c>
      <c r="J91" t="n">
        <v>0</v>
      </c>
      <c r="K91" t="inlineStr">
        <is>
          <t>PIRA</t>
        </is>
      </c>
      <c r="L91" t="inlineStr">
        <is>
          <t>CE-27 ESPINALILLO YBAR</t>
        </is>
      </c>
    </row>
    <row r="92">
      <c r="A92" t="n">
        <v>12</v>
      </c>
      <c r="B92" t="inlineStr">
        <is>
          <t>Millalemu 7</t>
        </is>
      </c>
      <c r="C92" t="n">
        <v>27.44</v>
      </c>
      <c r="D92" t="n">
        <v>8</v>
      </c>
      <c r="E92" t="n">
        <v>0</v>
      </c>
      <c r="F92" t="n">
        <v>80</v>
      </c>
      <c r="G92" t="n">
        <v>0</v>
      </c>
      <c r="H92" t="n">
        <v>540</v>
      </c>
      <c r="I92" t="n">
        <v>0</v>
      </c>
      <c r="J92" t="n">
        <v>540</v>
      </c>
      <c r="K92" t="inlineStr">
        <is>
          <t>PIRA</t>
        </is>
      </c>
      <c r="L92" t="inlineStr">
        <is>
          <t>LOMA DE LA VACA</t>
        </is>
      </c>
    </row>
    <row r="93">
      <c r="A93" t="n">
        <v>12</v>
      </c>
      <c r="B93" t="inlineStr">
        <is>
          <t>Millalemu 9</t>
        </is>
      </c>
      <c r="C93" t="n">
        <v>72.62</v>
      </c>
      <c r="D93" t="n">
        <v>27</v>
      </c>
      <c r="E93" t="n">
        <v>0</v>
      </c>
      <c r="F93" t="n">
        <v>108</v>
      </c>
      <c r="G93" t="n">
        <v>390</v>
      </c>
      <c r="H93" t="n">
        <v>0</v>
      </c>
      <c r="I93" t="n">
        <v>0</v>
      </c>
      <c r="J93" t="n">
        <v>390</v>
      </c>
      <c r="K93" t="inlineStr">
        <is>
          <t>PIRA</t>
        </is>
      </c>
      <c r="L93" t="inlineStr">
        <is>
          <t>COIHUECO Y OTROS (BB)</t>
        </is>
      </c>
    </row>
    <row r="94">
      <c r="A94" t="n">
        <v>13</v>
      </c>
      <c r="B94" t="inlineStr">
        <is>
          <t>Millalemu 1.1</t>
        </is>
      </c>
      <c r="C94" t="n">
        <v>31.99</v>
      </c>
      <c r="D94" t="n">
        <v>3</v>
      </c>
      <c r="E94" t="n">
        <v>0</v>
      </c>
      <c r="F94" t="n">
        <v>27</v>
      </c>
      <c r="G94" t="n">
        <v>0</v>
      </c>
      <c r="H94" t="n">
        <v>570</v>
      </c>
      <c r="I94" t="n">
        <v>30</v>
      </c>
      <c r="J94" t="n">
        <v>600</v>
      </c>
      <c r="K94" t="inlineStr">
        <is>
          <t>PIRA</t>
        </is>
      </c>
      <c r="L94" t="inlineStr">
        <is>
          <t>QUIRIQUINO</t>
        </is>
      </c>
    </row>
    <row r="95">
      <c r="A95" t="n">
        <v>13</v>
      </c>
      <c r="B95" t="inlineStr">
        <is>
          <t>Millalemu 1.2</t>
        </is>
      </c>
      <c r="C95" t="n">
        <v>145.23</v>
      </c>
      <c r="D95" t="n">
        <v>72</v>
      </c>
      <c r="E95" t="n">
        <v>0</v>
      </c>
      <c r="F95" t="n">
        <v>270</v>
      </c>
      <c r="G95" t="n">
        <v>0</v>
      </c>
      <c r="H95" t="n">
        <v>180</v>
      </c>
      <c r="I95" t="n">
        <v>0</v>
      </c>
      <c r="J95" t="n">
        <v>180</v>
      </c>
      <c r="K95" t="inlineStr">
        <is>
          <t>PIRA</t>
        </is>
      </c>
      <c r="L95" t="inlineStr">
        <is>
          <t>COIHUECO Y OTROS (BB)</t>
        </is>
      </c>
    </row>
    <row r="96">
      <c r="A96" t="n">
        <v>13</v>
      </c>
      <c r="B96" t="inlineStr">
        <is>
          <t>Millalemu 1.3</t>
        </is>
      </c>
      <c r="C96" t="n">
        <v>70.55</v>
      </c>
      <c r="D96" t="n">
        <v>12</v>
      </c>
      <c r="E96" t="n">
        <v>0</v>
      </c>
      <c r="F96" t="n">
        <v>60</v>
      </c>
      <c r="G96" t="n">
        <v>480</v>
      </c>
      <c r="H96" t="n">
        <v>0</v>
      </c>
      <c r="I96" t="n">
        <v>0</v>
      </c>
      <c r="J96" t="n">
        <v>480</v>
      </c>
      <c r="K96" t="inlineStr">
        <is>
          <t>PIRA</t>
        </is>
      </c>
      <c r="L96" t="inlineStr">
        <is>
          <t>LAS ULLOAS (BB)</t>
        </is>
      </c>
    </row>
    <row r="97">
      <c r="A97" t="n">
        <v>13</v>
      </c>
      <c r="B97" t="inlineStr">
        <is>
          <t>Millalemu 1.4</t>
        </is>
      </c>
      <c r="C97" t="n">
        <v>146.08</v>
      </c>
      <c r="D97" t="n">
        <v>16</v>
      </c>
      <c r="E97" t="n">
        <v>0</v>
      </c>
      <c r="F97" t="n">
        <v>196</v>
      </c>
      <c r="G97" t="n">
        <v>180</v>
      </c>
      <c r="H97" t="n">
        <v>0</v>
      </c>
      <c r="I97" t="n">
        <v>0</v>
      </c>
      <c r="J97" t="n">
        <v>180</v>
      </c>
      <c r="K97" t="inlineStr">
        <is>
          <t>PIRA</t>
        </is>
      </c>
      <c r="L97" t="inlineStr">
        <is>
          <t>LAS MERCEDES C13</t>
        </is>
      </c>
    </row>
    <row r="98">
      <c r="A98" t="n">
        <v>13</v>
      </c>
      <c r="B98" t="inlineStr">
        <is>
          <t>Millalemu 11</t>
        </is>
      </c>
      <c r="C98" t="n">
        <v>128.3</v>
      </c>
      <c r="D98" t="n">
        <v>17</v>
      </c>
      <c r="E98" t="n">
        <v>0</v>
      </c>
      <c r="F98" t="n">
        <v>168</v>
      </c>
      <c r="G98" t="n">
        <v>0</v>
      </c>
      <c r="H98" t="n">
        <v>150</v>
      </c>
      <c r="I98" t="n">
        <v>0</v>
      </c>
      <c r="J98" t="n">
        <v>150</v>
      </c>
      <c r="K98" t="inlineStr">
        <is>
          <t>EUGL</t>
        </is>
      </c>
      <c r="L98" t="inlineStr">
        <is>
          <t>POLHUIN</t>
        </is>
      </c>
    </row>
    <row r="99">
      <c r="A99" t="n">
        <v>13</v>
      </c>
      <c r="B99" t="inlineStr">
        <is>
          <t>Millalemu 5</t>
        </is>
      </c>
      <c r="C99" t="n">
        <v>155</v>
      </c>
      <c r="D99" t="n">
        <v>31.5</v>
      </c>
      <c r="E99" t="n">
        <v>0</v>
      </c>
      <c r="F99" t="n">
        <v>195</v>
      </c>
      <c r="G99" t="n">
        <v>0</v>
      </c>
      <c r="H99" t="n">
        <v>0</v>
      </c>
      <c r="I99" t="n">
        <v>30</v>
      </c>
      <c r="J99" t="n">
        <v>30</v>
      </c>
      <c r="K99" t="inlineStr">
        <is>
          <t>PIRA</t>
        </is>
      </c>
      <c r="L99" t="inlineStr">
        <is>
          <t>CE-27 ESPINALILLO YBAR</t>
        </is>
      </c>
    </row>
    <row r="100">
      <c r="A100" t="n">
        <v>13</v>
      </c>
      <c r="B100" t="inlineStr">
        <is>
          <t>Millalemu 7</t>
        </is>
      </c>
      <c r="C100" t="n">
        <v>179.86</v>
      </c>
      <c r="D100" t="n">
        <v>33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inlineStr">
        <is>
          <t>PIRA</t>
        </is>
      </c>
      <c r="L100" t="inlineStr">
        <is>
          <t>LOMA DE LA VACA</t>
        </is>
      </c>
    </row>
    <row r="101">
      <c r="A101" t="n">
        <v>13</v>
      </c>
      <c r="B101" t="inlineStr">
        <is>
          <t>Millalemu 9</t>
        </is>
      </c>
      <c r="C101" t="n">
        <v>225.11</v>
      </c>
      <c r="D101" t="n">
        <v>40</v>
      </c>
      <c r="E101" t="n">
        <v>0</v>
      </c>
      <c r="F101" t="n">
        <v>208</v>
      </c>
      <c r="G101" t="n">
        <v>30</v>
      </c>
      <c r="H101" t="n">
        <v>30</v>
      </c>
      <c r="I101" t="n">
        <v>0</v>
      </c>
      <c r="J101" t="n">
        <v>60</v>
      </c>
      <c r="K101" t="inlineStr">
        <is>
          <t>PIRA</t>
        </is>
      </c>
      <c r="L101" t="inlineStr">
        <is>
          <t>COIHUECO Y OTROS (BB)</t>
        </is>
      </c>
    </row>
    <row r="102">
      <c r="A102" t="n">
        <v>14</v>
      </c>
      <c r="B102" t="inlineStr">
        <is>
          <t>Millalemu 1.1</t>
        </is>
      </c>
      <c r="C102" t="n">
        <v>409.61</v>
      </c>
      <c r="D102" t="n">
        <v>50</v>
      </c>
      <c r="E102" t="n">
        <v>0</v>
      </c>
      <c r="F102" t="n">
        <v>375</v>
      </c>
      <c r="G102" t="n">
        <v>60</v>
      </c>
      <c r="H102" t="n">
        <v>0</v>
      </c>
      <c r="I102" t="n">
        <v>0</v>
      </c>
      <c r="J102" t="n">
        <v>60</v>
      </c>
      <c r="K102" t="inlineStr">
        <is>
          <t>PIRA</t>
        </is>
      </c>
      <c r="L102" t="inlineStr">
        <is>
          <t>QUIRIQUINO</t>
        </is>
      </c>
    </row>
    <row r="103">
      <c r="A103" t="n">
        <v>14</v>
      </c>
      <c r="B103" t="inlineStr">
        <is>
          <t>Millalemu 1.2</t>
        </is>
      </c>
      <c r="C103" t="n">
        <v>213.96</v>
      </c>
      <c r="D103" t="n">
        <v>40</v>
      </c>
      <c r="E103" t="n">
        <v>0</v>
      </c>
      <c r="F103" t="n">
        <v>322</v>
      </c>
      <c r="G103" t="n">
        <v>0</v>
      </c>
      <c r="H103" t="n">
        <v>180</v>
      </c>
      <c r="I103" t="n">
        <v>0</v>
      </c>
      <c r="J103" t="n">
        <v>180</v>
      </c>
      <c r="K103" t="inlineStr">
        <is>
          <t>PIRA</t>
        </is>
      </c>
      <c r="L103" t="inlineStr">
        <is>
          <t>COIHUECO Y OTROS (BB)</t>
        </is>
      </c>
    </row>
    <row r="104">
      <c r="A104" t="n">
        <v>14</v>
      </c>
      <c r="B104" t="inlineStr">
        <is>
          <t>Millalemu 1.3</t>
        </is>
      </c>
      <c r="C104" t="n">
        <v>125.17</v>
      </c>
      <c r="D104" t="n">
        <v>24</v>
      </c>
      <c r="E104" t="n">
        <v>0</v>
      </c>
      <c r="F104" t="n">
        <v>88</v>
      </c>
      <c r="G104" t="n">
        <v>300</v>
      </c>
      <c r="H104" t="n">
        <v>0</v>
      </c>
      <c r="I104" t="n">
        <v>0</v>
      </c>
      <c r="J104" t="n">
        <v>300</v>
      </c>
      <c r="K104" t="inlineStr">
        <is>
          <t>PIRA</t>
        </is>
      </c>
      <c r="L104" t="inlineStr">
        <is>
          <t>LAS ULLOAS (BB)</t>
        </is>
      </c>
    </row>
    <row r="105">
      <c r="A105" t="n">
        <v>14</v>
      </c>
      <c r="B105" t="inlineStr">
        <is>
          <t>Millalemu 1.4</t>
        </is>
      </c>
      <c r="C105" t="n">
        <v>147.06</v>
      </c>
      <c r="D105" t="n">
        <v>18</v>
      </c>
      <c r="E105" t="n">
        <v>0</v>
      </c>
      <c r="F105" t="n">
        <v>188</v>
      </c>
      <c r="G105" t="n">
        <v>0</v>
      </c>
      <c r="H105" t="n">
        <v>120</v>
      </c>
      <c r="I105" t="n">
        <v>0</v>
      </c>
      <c r="J105" t="n">
        <v>120</v>
      </c>
      <c r="K105" t="inlineStr">
        <is>
          <t>PIRA</t>
        </is>
      </c>
      <c r="L105" t="inlineStr">
        <is>
          <t>LAS MERCEDES C13</t>
        </is>
      </c>
    </row>
    <row r="106">
      <c r="A106" t="n">
        <v>14</v>
      </c>
      <c r="B106" t="inlineStr">
        <is>
          <t>Millalemu 11</t>
        </is>
      </c>
      <c r="C106" t="n">
        <v>49.36</v>
      </c>
      <c r="D106" t="n">
        <v>14</v>
      </c>
      <c r="E106" t="n">
        <v>0</v>
      </c>
      <c r="F106" t="n">
        <v>102</v>
      </c>
      <c r="G106" t="n">
        <v>0</v>
      </c>
      <c r="H106" t="n">
        <v>240</v>
      </c>
      <c r="I106" t="n">
        <v>0</v>
      </c>
      <c r="J106" t="n">
        <v>240</v>
      </c>
      <c r="K106" t="inlineStr">
        <is>
          <t>EUGL</t>
        </is>
      </c>
      <c r="L106" t="inlineStr">
        <is>
          <t>POLHUIN</t>
        </is>
      </c>
    </row>
    <row r="107">
      <c r="A107" t="n">
        <v>14</v>
      </c>
      <c r="B107" t="inlineStr">
        <is>
          <t>Millalemu 5</t>
        </is>
      </c>
      <c r="C107" t="n">
        <v>247.12</v>
      </c>
      <c r="D107" t="n">
        <v>16</v>
      </c>
      <c r="E107" t="n">
        <v>0</v>
      </c>
      <c r="F107" t="n">
        <v>108</v>
      </c>
      <c r="G107" t="n">
        <v>180</v>
      </c>
      <c r="H107" t="n">
        <v>0</v>
      </c>
      <c r="I107" t="n">
        <v>0</v>
      </c>
      <c r="J107" t="n">
        <v>180</v>
      </c>
      <c r="K107" t="inlineStr">
        <is>
          <t>PIRA</t>
        </is>
      </c>
      <c r="L107" t="inlineStr">
        <is>
          <t>CE-27 ESPINALILLO YBAR</t>
        </is>
      </c>
    </row>
    <row r="108">
      <c r="A108" t="n">
        <v>14</v>
      </c>
      <c r="B108" t="inlineStr">
        <is>
          <t>Millalemu 7</t>
        </is>
      </c>
      <c r="C108" t="n">
        <v>131.82</v>
      </c>
      <c r="D108" t="n">
        <v>21</v>
      </c>
      <c r="E108" t="n">
        <v>0</v>
      </c>
      <c r="F108" t="n">
        <v>66</v>
      </c>
      <c r="G108" t="n">
        <v>0</v>
      </c>
      <c r="H108" t="n">
        <v>0</v>
      </c>
      <c r="I108" t="n">
        <v>30</v>
      </c>
      <c r="J108" t="n">
        <v>30</v>
      </c>
      <c r="K108" t="inlineStr">
        <is>
          <t>PIRA</t>
        </is>
      </c>
      <c r="L108" t="inlineStr">
        <is>
          <t>LOMA DE LA VACA</t>
        </is>
      </c>
    </row>
    <row r="109">
      <c r="A109" t="n">
        <v>14</v>
      </c>
      <c r="B109" t="inlineStr">
        <is>
          <t>Millalemu 9</t>
        </is>
      </c>
      <c r="C109" t="n">
        <v>227.19</v>
      </c>
      <c r="D109" t="n">
        <v>50</v>
      </c>
      <c r="E109" t="n">
        <v>0</v>
      </c>
      <c r="F109" t="n">
        <v>270</v>
      </c>
      <c r="G109" t="n">
        <v>0</v>
      </c>
      <c r="H109" t="n">
        <v>60</v>
      </c>
      <c r="I109" t="n">
        <v>0</v>
      </c>
      <c r="J109" t="n">
        <v>60</v>
      </c>
      <c r="K109" t="inlineStr">
        <is>
          <t>PIRA</t>
        </is>
      </c>
      <c r="L109" t="inlineStr">
        <is>
          <t>COIHUECO Y OTROS (BB)</t>
        </is>
      </c>
    </row>
    <row r="110">
      <c r="A110" t="n">
        <v>15</v>
      </c>
      <c r="B110" t="inlineStr">
        <is>
          <t>Millalemu 1.1</t>
        </is>
      </c>
      <c r="C110" t="n">
        <v>390.44</v>
      </c>
      <c r="D110" t="n">
        <v>45</v>
      </c>
      <c r="E110" t="n">
        <v>0</v>
      </c>
      <c r="F110" t="n">
        <v>340</v>
      </c>
      <c r="G110" t="n">
        <v>60</v>
      </c>
      <c r="H110" t="n">
        <v>0</v>
      </c>
      <c r="I110" t="n">
        <v>60</v>
      </c>
      <c r="J110" t="n">
        <v>120</v>
      </c>
      <c r="K110" t="inlineStr">
        <is>
          <t>PIRA</t>
        </is>
      </c>
      <c r="L110" t="inlineStr">
        <is>
          <t>QUIRIQUINO</t>
        </is>
      </c>
    </row>
    <row r="111">
      <c r="A111" t="n">
        <v>15</v>
      </c>
      <c r="B111" t="inlineStr">
        <is>
          <t>Millalemu 1.2</t>
        </is>
      </c>
      <c r="C111" t="n">
        <v>166.8</v>
      </c>
      <c r="D111" t="n">
        <v>39</v>
      </c>
      <c r="E111" t="n">
        <v>0</v>
      </c>
      <c r="F111" t="n">
        <v>273</v>
      </c>
      <c r="G111" t="n">
        <v>120</v>
      </c>
      <c r="H111" t="n">
        <v>0</v>
      </c>
      <c r="I111" t="n">
        <v>0</v>
      </c>
      <c r="J111" t="n">
        <v>120</v>
      </c>
      <c r="K111" t="inlineStr">
        <is>
          <t>PIRA</t>
        </is>
      </c>
      <c r="L111" t="inlineStr">
        <is>
          <t>COIHUECO Y OTROS (BB)</t>
        </is>
      </c>
    </row>
    <row r="112">
      <c r="A112" t="n">
        <v>15</v>
      </c>
      <c r="B112" t="inlineStr">
        <is>
          <t>Millalemu 1.3</t>
        </is>
      </c>
      <c r="C112" t="n">
        <v>89.89</v>
      </c>
      <c r="D112" t="n">
        <v>24</v>
      </c>
      <c r="E112" t="n">
        <v>0</v>
      </c>
      <c r="F112" t="n">
        <v>88</v>
      </c>
      <c r="G112" t="n">
        <v>300</v>
      </c>
      <c r="H112" t="n">
        <v>0</v>
      </c>
      <c r="I112" t="n">
        <v>0</v>
      </c>
      <c r="J112" t="n">
        <v>300</v>
      </c>
      <c r="K112" t="inlineStr">
        <is>
          <t>PIRA</t>
        </is>
      </c>
      <c r="L112" t="inlineStr">
        <is>
          <t>LAS ULLOAS (BB)</t>
        </is>
      </c>
    </row>
    <row r="113">
      <c r="A113" t="n">
        <v>15</v>
      </c>
      <c r="B113" t="inlineStr">
        <is>
          <t>Millalemu 1.4</t>
        </is>
      </c>
      <c r="C113" t="n">
        <v>131.47</v>
      </c>
      <c r="D113" t="n">
        <v>16</v>
      </c>
      <c r="E113" t="n">
        <v>0</v>
      </c>
      <c r="F113" t="n">
        <v>140</v>
      </c>
      <c r="G113" t="n">
        <v>150</v>
      </c>
      <c r="H113" t="n">
        <v>0</v>
      </c>
      <c r="I113" t="n">
        <v>30</v>
      </c>
      <c r="J113" t="n">
        <v>180</v>
      </c>
      <c r="K113" t="inlineStr">
        <is>
          <t>PIRA</t>
        </is>
      </c>
      <c r="L113" t="inlineStr">
        <is>
          <t>LAS MERCEDES C13</t>
        </is>
      </c>
    </row>
    <row r="114">
      <c r="A114" t="n">
        <v>15</v>
      </c>
      <c r="B114" t="inlineStr">
        <is>
          <t>Millalemu 11</t>
        </is>
      </c>
      <c r="C114" t="n">
        <v>41.96</v>
      </c>
      <c r="D114" t="n">
        <v>8</v>
      </c>
      <c r="E114" t="n">
        <v>0</v>
      </c>
      <c r="F114" t="n">
        <v>65</v>
      </c>
      <c r="G114" t="n">
        <v>0</v>
      </c>
      <c r="H114" t="n">
        <v>180</v>
      </c>
      <c r="I114" t="n">
        <v>0</v>
      </c>
      <c r="J114" t="n">
        <v>180</v>
      </c>
      <c r="K114" t="inlineStr">
        <is>
          <t>EUGL</t>
        </is>
      </c>
      <c r="L114" t="inlineStr">
        <is>
          <t>POLHUIN</t>
        </is>
      </c>
    </row>
    <row r="115">
      <c r="A115" t="n">
        <v>15</v>
      </c>
      <c r="B115" t="inlineStr">
        <is>
          <t>Millalemu 5</t>
        </is>
      </c>
      <c r="C115" t="n">
        <v>249.45</v>
      </c>
      <c r="D115" t="n">
        <v>33</v>
      </c>
      <c r="E115" t="n">
        <v>0</v>
      </c>
      <c r="F115" t="n">
        <v>450</v>
      </c>
      <c r="G115" t="n">
        <v>0</v>
      </c>
      <c r="H115" t="n">
        <v>0</v>
      </c>
      <c r="I115" t="n">
        <v>0</v>
      </c>
      <c r="J115" t="n">
        <v>0</v>
      </c>
      <c r="K115" t="inlineStr">
        <is>
          <t>PIRA</t>
        </is>
      </c>
      <c r="L115" t="inlineStr">
        <is>
          <t>CE-27 ESPINALILLO YBAR</t>
        </is>
      </c>
    </row>
    <row r="116">
      <c r="A116" t="n">
        <v>15</v>
      </c>
      <c r="B116" t="inlineStr">
        <is>
          <t>Millalemu 7</t>
        </is>
      </c>
      <c r="C116" t="n">
        <v>238.57</v>
      </c>
      <c r="D116" t="n">
        <v>21</v>
      </c>
      <c r="E116" t="n">
        <v>0</v>
      </c>
      <c r="F116" t="n">
        <v>66</v>
      </c>
      <c r="G116" t="n">
        <v>0</v>
      </c>
      <c r="H116" t="n">
        <v>0</v>
      </c>
      <c r="I116" t="n">
        <v>30</v>
      </c>
      <c r="J116" t="n">
        <v>30</v>
      </c>
      <c r="K116" t="inlineStr">
        <is>
          <t>PIRA</t>
        </is>
      </c>
      <c r="L116" t="inlineStr">
        <is>
          <t>LOMA DE LA VACA</t>
        </is>
      </c>
    </row>
    <row r="117">
      <c r="A117" t="n">
        <v>15</v>
      </c>
      <c r="B117" t="inlineStr">
        <is>
          <t>Millalemu 9</t>
        </is>
      </c>
      <c r="C117" t="n">
        <v>157.15</v>
      </c>
      <c r="D117" t="n">
        <v>30</v>
      </c>
      <c r="E117" t="n">
        <v>0</v>
      </c>
      <c r="F117" t="n">
        <v>190</v>
      </c>
      <c r="G117" t="n">
        <v>120</v>
      </c>
      <c r="H117" t="n">
        <v>180</v>
      </c>
      <c r="I117" t="n">
        <v>0</v>
      </c>
      <c r="J117" t="n">
        <v>300</v>
      </c>
      <c r="K117" t="inlineStr">
        <is>
          <t>PIRA</t>
        </is>
      </c>
      <c r="L117" t="inlineStr">
        <is>
          <t>COIHUECO Y OTROS (BB)</t>
        </is>
      </c>
    </row>
    <row r="118">
      <c r="A118" t="n">
        <v>16</v>
      </c>
      <c r="B118" t="inlineStr">
        <is>
          <t>Millalemu 1.1</t>
        </is>
      </c>
      <c r="C118" t="n">
        <v>342.6</v>
      </c>
      <c r="D118" t="n">
        <v>35</v>
      </c>
      <c r="E118" t="n">
        <v>0</v>
      </c>
      <c r="F118" t="n">
        <v>325</v>
      </c>
      <c r="G118" t="n">
        <v>180</v>
      </c>
      <c r="H118" t="n">
        <v>0</v>
      </c>
      <c r="I118" t="n">
        <v>60</v>
      </c>
      <c r="J118" t="n">
        <v>240</v>
      </c>
      <c r="K118" t="inlineStr">
        <is>
          <t>PIRA</t>
        </is>
      </c>
      <c r="L118" t="inlineStr">
        <is>
          <t>QUIRIQUINO</t>
        </is>
      </c>
    </row>
    <row r="119">
      <c r="A119" t="n">
        <v>16</v>
      </c>
      <c r="B119" t="inlineStr">
        <is>
          <t>Millalemu 1.2</t>
        </is>
      </c>
      <c r="C119" t="n">
        <v>227.02</v>
      </c>
      <c r="D119" t="n">
        <v>54</v>
      </c>
      <c r="E119" t="n">
        <v>0</v>
      </c>
      <c r="F119" t="n">
        <v>336</v>
      </c>
      <c r="G119" t="n">
        <v>60</v>
      </c>
      <c r="H119" t="n">
        <v>0</v>
      </c>
      <c r="I119" t="n">
        <v>0</v>
      </c>
      <c r="J119" t="n">
        <v>60</v>
      </c>
      <c r="K119" t="inlineStr">
        <is>
          <t>PIRA</t>
        </is>
      </c>
      <c r="L119" t="inlineStr">
        <is>
          <t>COIHUECO Y OTROS (BB)</t>
        </is>
      </c>
    </row>
    <row r="120">
      <c r="A120" t="n">
        <v>16</v>
      </c>
      <c r="B120" t="inlineStr">
        <is>
          <t>Millalemu 1.3</t>
        </is>
      </c>
      <c r="C120" t="n">
        <v>170.76</v>
      </c>
      <c r="D120" t="n">
        <v>35</v>
      </c>
      <c r="E120" t="n">
        <v>0</v>
      </c>
      <c r="F120" t="n">
        <v>115</v>
      </c>
      <c r="G120" t="n">
        <v>240</v>
      </c>
      <c r="H120" t="n">
        <v>0</v>
      </c>
      <c r="I120" t="n">
        <v>0</v>
      </c>
      <c r="J120" t="n">
        <v>240</v>
      </c>
      <c r="K120" t="inlineStr">
        <is>
          <t>PIRA</t>
        </is>
      </c>
      <c r="L120" t="inlineStr">
        <is>
          <t>LAS ULLOAS (BB)</t>
        </is>
      </c>
    </row>
    <row r="121">
      <c r="A121" t="n">
        <v>16</v>
      </c>
      <c r="B121" t="inlineStr">
        <is>
          <t>Millalemu 1.4</t>
        </is>
      </c>
      <c r="C121" t="n">
        <v>131.5</v>
      </c>
      <c r="D121" t="n">
        <v>18</v>
      </c>
      <c r="E121" t="n">
        <v>0</v>
      </c>
      <c r="F121" t="n">
        <v>110</v>
      </c>
      <c r="G121" t="n">
        <v>120</v>
      </c>
      <c r="H121" t="n">
        <v>0</v>
      </c>
      <c r="I121" t="n">
        <v>0</v>
      </c>
      <c r="J121" t="n">
        <v>120</v>
      </c>
      <c r="K121" t="inlineStr">
        <is>
          <t>PIRA</t>
        </is>
      </c>
      <c r="L121" t="inlineStr">
        <is>
          <t>LAS MERCEDES C13</t>
        </is>
      </c>
    </row>
    <row r="122">
      <c r="A122" t="n">
        <v>16</v>
      </c>
      <c r="B122" t="inlineStr">
        <is>
          <t>Millalemu 11</t>
        </is>
      </c>
      <c r="C122" t="n">
        <v>43.44</v>
      </c>
      <c r="D122" t="n">
        <v>6</v>
      </c>
      <c r="E122" t="n">
        <v>0</v>
      </c>
      <c r="F122" t="n">
        <v>65</v>
      </c>
      <c r="G122" t="n">
        <v>0</v>
      </c>
      <c r="H122" t="n">
        <v>240</v>
      </c>
      <c r="I122" t="n">
        <v>0</v>
      </c>
      <c r="J122" t="n">
        <v>240</v>
      </c>
      <c r="K122" t="inlineStr">
        <is>
          <t>EUGL</t>
        </is>
      </c>
      <c r="L122" t="inlineStr">
        <is>
          <t>POLHUIN</t>
        </is>
      </c>
    </row>
    <row r="123">
      <c r="A123" t="n">
        <v>16</v>
      </c>
      <c r="B123" t="inlineStr">
        <is>
          <t>Millalemu 5</t>
        </is>
      </c>
      <c r="C123" t="n">
        <v>237.15</v>
      </c>
      <c r="D123" t="n">
        <v>33</v>
      </c>
      <c r="E123" t="n">
        <v>0</v>
      </c>
      <c r="F123" t="n">
        <v>207</v>
      </c>
      <c r="G123" t="n">
        <v>0</v>
      </c>
      <c r="H123" t="n">
        <v>0</v>
      </c>
      <c r="I123" t="n">
        <v>0</v>
      </c>
      <c r="J123" t="n">
        <v>0</v>
      </c>
      <c r="K123" t="inlineStr">
        <is>
          <t>PIRA</t>
        </is>
      </c>
      <c r="L123" t="inlineStr">
        <is>
          <t>CE-27 ESPINALILLO YBAR</t>
        </is>
      </c>
    </row>
    <row r="124">
      <c r="A124" t="n">
        <v>16</v>
      </c>
      <c r="B124" t="inlineStr">
        <is>
          <t>Millalemu 7</t>
        </is>
      </c>
      <c r="C124" t="n">
        <v>114.03</v>
      </c>
      <c r="D124" t="n">
        <v>21</v>
      </c>
      <c r="E124" t="n">
        <v>0</v>
      </c>
      <c r="F124" t="n">
        <v>66</v>
      </c>
      <c r="G124" t="n">
        <v>0</v>
      </c>
      <c r="H124" t="n">
        <v>0</v>
      </c>
      <c r="I124" t="n">
        <v>30</v>
      </c>
      <c r="J124" t="n">
        <v>30</v>
      </c>
      <c r="K124" t="inlineStr">
        <is>
          <t>PIRA</t>
        </is>
      </c>
      <c r="L124" t="inlineStr">
        <is>
          <t>LOMA DE LA VACA</t>
        </is>
      </c>
    </row>
    <row r="125">
      <c r="A125" t="n">
        <v>16</v>
      </c>
      <c r="B125" t="inlineStr">
        <is>
          <t>Millalemu 9</t>
        </is>
      </c>
      <c r="C125" t="n">
        <v>273.81</v>
      </c>
      <c r="D125" t="n">
        <v>40</v>
      </c>
      <c r="E125" t="n">
        <v>0</v>
      </c>
      <c r="F125" t="n">
        <v>232</v>
      </c>
      <c r="G125" t="n">
        <v>0</v>
      </c>
      <c r="H125" t="n">
        <v>60</v>
      </c>
      <c r="I125" t="n">
        <v>0</v>
      </c>
      <c r="J125" t="n">
        <v>60</v>
      </c>
      <c r="K125" t="inlineStr">
        <is>
          <t>PIRA</t>
        </is>
      </c>
      <c r="L125" t="inlineStr">
        <is>
          <t>COIHUECO Y OTROS (BB)</t>
        </is>
      </c>
    </row>
    <row r="126">
      <c r="A126" t="n">
        <v>17</v>
      </c>
      <c r="B126" t="inlineStr">
        <is>
          <t>Millalemu 1.1</t>
        </is>
      </c>
      <c r="C126" t="n">
        <v>320.8</v>
      </c>
      <c r="D126" t="n">
        <v>35</v>
      </c>
      <c r="E126" t="n">
        <v>0</v>
      </c>
      <c r="F126" t="n">
        <v>285</v>
      </c>
      <c r="G126" t="n">
        <v>120</v>
      </c>
      <c r="H126" t="n">
        <v>60</v>
      </c>
      <c r="I126" t="n">
        <v>60</v>
      </c>
      <c r="J126" t="n">
        <v>240</v>
      </c>
      <c r="K126" t="inlineStr">
        <is>
          <t>PIRA</t>
        </is>
      </c>
      <c r="L126" t="inlineStr">
        <is>
          <t>QUIRIQUINO</t>
        </is>
      </c>
    </row>
    <row r="127">
      <c r="A127" t="n">
        <v>17</v>
      </c>
      <c r="B127" t="inlineStr">
        <is>
          <t>Millalemu 1.2</t>
        </is>
      </c>
      <c r="C127" t="n">
        <v>135.23</v>
      </c>
      <c r="D127" t="n">
        <v>72</v>
      </c>
      <c r="E127" t="n">
        <v>0</v>
      </c>
      <c r="F127" t="n">
        <v>504</v>
      </c>
      <c r="G127" t="n">
        <v>0</v>
      </c>
      <c r="H127" t="n">
        <v>120</v>
      </c>
      <c r="I127" t="n">
        <v>0</v>
      </c>
      <c r="J127" t="n">
        <v>120</v>
      </c>
      <c r="K127" t="inlineStr">
        <is>
          <t>PIRA</t>
        </is>
      </c>
      <c r="L127" t="inlineStr">
        <is>
          <t>COIHUECO Y OTROS (BB)</t>
        </is>
      </c>
    </row>
    <row r="128">
      <c r="A128" t="n">
        <v>17</v>
      </c>
      <c r="B128" t="inlineStr">
        <is>
          <t>Millalemu 1.3</t>
        </is>
      </c>
      <c r="C128" t="n">
        <v>131.15</v>
      </c>
      <c r="D128" t="n">
        <v>32</v>
      </c>
      <c r="E128" t="n">
        <v>0</v>
      </c>
      <c r="F128" t="n">
        <v>88</v>
      </c>
      <c r="G128" t="n">
        <v>0</v>
      </c>
      <c r="H128" t="n">
        <v>180</v>
      </c>
      <c r="I128" t="n">
        <v>0</v>
      </c>
      <c r="J128" t="n">
        <v>180</v>
      </c>
      <c r="K128" t="inlineStr">
        <is>
          <t>PIRA</t>
        </is>
      </c>
      <c r="L128" t="inlineStr">
        <is>
          <t>LAS ULLOAS (BB)</t>
        </is>
      </c>
    </row>
    <row r="129">
      <c r="A129" t="n">
        <v>17</v>
      </c>
      <c r="B129" t="inlineStr">
        <is>
          <t>Millalemu 1.4</t>
        </is>
      </c>
      <c r="C129" t="n">
        <v>136.58</v>
      </c>
      <c r="D129" t="n">
        <v>16</v>
      </c>
      <c r="E129" t="n">
        <v>0</v>
      </c>
      <c r="F129" t="n">
        <v>90</v>
      </c>
      <c r="G129" t="n">
        <v>180</v>
      </c>
      <c r="H129" t="n">
        <v>0</v>
      </c>
      <c r="I129" t="n">
        <v>0</v>
      </c>
      <c r="J129" t="n">
        <v>180</v>
      </c>
      <c r="K129" t="inlineStr">
        <is>
          <t>PIRA</t>
        </is>
      </c>
      <c r="L129" t="inlineStr">
        <is>
          <t>LAS MERCEDES C13</t>
        </is>
      </c>
    </row>
    <row r="130">
      <c r="A130" t="n">
        <v>17</v>
      </c>
      <c r="B130" t="inlineStr">
        <is>
          <t>Millalemu 11</t>
        </is>
      </c>
      <c r="C130" t="n">
        <v>21.39</v>
      </c>
      <c r="D130" t="n">
        <v>2</v>
      </c>
      <c r="E130" t="n">
        <v>0</v>
      </c>
      <c r="F130" t="n">
        <v>22</v>
      </c>
      <c r="G130" t="n">
        <v>0</v>
      </c>
      <c r="H130" t="n">
        <v>540</v>
      </c>
      <c r="I130" t="n">
        <v>0</v>
      </c>
      <c r="J130" t="n">
        <v>540</v>
      </c>
      <c r="K130" t="inlineStr">
        <is>
          <t>EUGL</t>
        </is>
      </c>
      <c r="L130" t="inlineStr">
        <is>
          <t>POLHUIN</t>
        </is>
      </c>
    </row>
    <row r="131">
      <c r="A131" t="n">
        <v>17</v>
      </c>
      <c r="B131" t="inlineStr">
        <is>
          <t>Millalemu 5</t>
        </is>
      </c>
      <c r="C131" t="n">
        <v>138.65</v>
      </c>
      <c r="D131" t="n">
        <v>27</v>
      </c>
      <c r="E131" t="n">
        <v>0</v>
      </c>
      <c r="F131" t="n">
        <v>402</v>
      </c>
      <c r="G131" t="n">
        <v>120</v>
      </c>
      <c r="H131" t="n">
        <v>0</v>
      </c>
      <c r="I131" t="n">
        <v>0</v>
      </c>
      <c r="J131" t="n">
        <v>120</v>
      </c>
      <c r="K131" t="inlineStr">
        <is>
          <t>PIRA</t>
        </is>
      </c>
      <c r="L131" t="inlineStr">
        <is>
          <t>CE-27 ESPINALILLO YBAR</t>
        </is>
      </c>
    </row>
    <row r="132">
      <c r="A132" t="n">
        <v>17</v>
      </c>
      <c r="B132" t="inlineStr">
        <is>
          <t>Millalemu 7</t>
        </is>
      </c>
      <c r="C132" t="n">
        <v>217.76</v>
      </c>
      <c r="D132" t="n">
        <v>21</v>
      </c>
      <c r="E132" t="n">
        <v>0</v>
      </c>
      <c r="F132" t="n">
        <v>66</v>
      </c>
      <c r="G132" t="n">
        <v>0</v>
      </c>
      <c r="H132" t="n">
        <v>0</v>
      </c>
      <c r="I132" t="n">
        <v>30</v>
      </c>
      <c r="J132" t="n">
        <v>30</v>
      </c>
      <c r="K132" t="inlineStr">
        <is>
          <t>PIRA</t>
        </is>
      </c>
      <c r="L132" t="inlineStr">
        <is>
          <t>LOMA DE LA VACA</t>
        </is>
      </c>
    </row>
    <row r="133">
      <c r="A133" t="n">
        <v>17</v>
      </c>
      <c r="B133" t="inlineStr">
        <is>
          <t>Millalemu 9</t>
        </is>
      </c>
      <c r="C133" t="n">
        <v>306.58</v>
      </c>
      <c r="D133" t="n">
        <v>36</v>
      </c>
      <c r="E133" t="n">
        <v>0</v>
      </c>
      <c r="F133" t="n">
        <v>240</v>
      </c>
      <c r="G133" t="n">
        <v>0</v>
      </c>
      <c r="H133" t="n">
        <v>120</v>
      </c>
      <c r="I133" t="n">
        <v>0</v>
      </c>
      <c r="J133" t="n">
        <v>120</v>
      </c>
      <c r="K133" t="inlineStr">
        <is>
          <t>PIRA</t>
        </is>
      </c>
      <c r="L133" t="inlineStr">
        <is>
          <t>COIHUECO Y OTROS (BB)</t>
        </is>
      </c>
    </row>
    <row r="134">
      <c r="A134" t="n">
        <v>18</v>
      </c>
      <c r="B134" t="inlineStr">
        <is>
          <t>Millalemu 1.1</t>
        </is>
      </c>
      <c r="C134" t="n">
        <v>172.44</v>
      </c>
      <c r="D134" t="n">
        <v>30</v>
      </c>
      <c r="E134" t="n">
        <v>0</v>
      </c>
      <c r="F134" t="n">
        <v>180</v>
      </c>
      <c r="G134" t="n">
        <v>300</v>
      </c>
      <c r="H134" t="n">
        <v>0</v>
      </c>
      <c r="I134" t="n">
        <v>60</v>
      </c>
      <c r="J134" t="n">
        <v>360</v>
      </c>
      <c r="K134" t="inlineStr">
        <is>
          <t>PIRA</t>
        </is>
      </c>
      <c r="L134" t="inlineStr">
        <is>
          <t>QUIRIQUINO</t>
        </is>
      </c>
    </row>
    <row r="135">
      <c r="A135" t="n">
        <v>18</v>
      </c>
      <c r="B135" t="inlineStr">
        <is>
          <t>Millalemu 1.2</t>
        </is>
      </c>
      <c r="C135" t="n">
        <v>138.08</v>
      </c>
      <c r="D135" t="n">
        <v>51</v>
      </c>
      <c r="E135" t="n">
        <v>0</v>
      </c>
      <c r="F135" t="n">
        <v>186</v>
      </c>
      <c r="G135" t="n">
        <v>0</v>
      </c>
      <c r="H135" t="n">
        <v>120</v>
      </c>
      <c r="I135" t="n">
        <v>0</v>
      </c>
      <c r="J135" t="n">
        <v>120</v>
      </c>
      <c r="K135" t="inlineStr">
        <is>
          <t>PIRA</t>
        </is>
      </c>
      <c r="L135" t="inlineStr">
        <is>
          <t>COIHUECO Y OTROS (BB)</t>
        </is>
      </c>
    </row>
    <row r="136">
      <c r="A136" t="n">
        <v>18</v>
      </c>
      <c r="B136" t="inlineStr">
        <is>
          <t>Millalemu 1.3</t>
        </is>
      </c>
      <c r="C136" t="n">
        <v>203.68</v>
      </c>
      <c r="D136" t="n">
        <v>36</v>
      </c>
      <c r="E136" t="n">
        <v>0</v>
      </c>
      <c r="F136" t="n">
        <v>144</v>
      </c>
      <c r="G136" t="n">
        <v>120</v>
      </c>
      <c r="H136" t="n">
        <v>0</v>
      </c>
      <c r="I136" t="n">
        <v>0</v>
      </c>
      <c r="J136" t="n">
        <v>120</v>
      </c>
      <c r="K136" t="inlineStr">
        <is>
          <t>PIRA</t>
        </is>
      </c>
      <c r="L136" t="inlineStr">
        <is>
          <t>LAS ULLOAS (BB)</t>
        </is>
      </c>
    </row>
    <row r="137">
      <c r="A137" t="n">
        <v>18</v>
      </c>
      <c r="B137" t="inlineStr">
        <is>
          <t>Millalemu 1.4</t>
        </is>
      </c>
      <c r="C137" t="n">
        <v>148.66</v>
      </c>
      <c r="D137" t="n">
        <v>20</v>
      </c>
      <c r="E137" t="n">
        <v>0</v>
      </c>
      <c r="F137" t="n">
        <v>96</v>
      </c>
      <c r="G137" t="n">
        <v>60</v>
      </c>
      <c r="H137" t="n">
        <v>0</v>
      </c>
      <c r="I137" t="n">
        <v>0</v>
      </c>
      <c r="J137" t="n">
        <v>60</v>
      </c>
      <c r="K137" t="inlineStr">
        <is>
          <t>PIRA</t>
        </is>
      </c>
      <c r="L137" t="inlineStr">
        <is>
          <t>LAS MERCEDES C13</t>
        </is>
      </c>
    </row>
    <row r="138">
      <c r="A138" t="n">
        <v>18</v>
      </c>
      <c r="B138" t="inlineStr">
        <is>
          <t>Millalemu 11</t>
        </is>
      </c>
      <c r="C138" t="n">
        <v>34.89</v>
      </c>
      <c r="D138" t="n">
        <v>4</v>
      </c>
      <c r="E138" t="n">
        <v>0</v>
      </c>
      <c r="F138" t="n">
        <v>30</v>
      </c>
      <c r="G138" t="n">
        <v>540</v>
      </c>
      <c r="H138" t="n">
        <v>0</v>
      </c>
      <c r="I138" t="n">
        <v>0</v>
      </c>
      <c r="J138" t="n">
        <v>540</v>
      </c>
      <c r="K138" t="inlineStr">
        <is>
          <t>EUGL</t>
        </is>
      </c>
      <c r="L138" t="inlineStr">
        <is>
          <t>POLHUIN</t>
        </is>
      </c>
    </row>
    <row r="139">
      <c r="A139" t="n">
        <v>18</v>
      </c>
      <c r="B139" t="inlineStr">
        <is>
          <t>Millalemu 5</t>
        </is>
      </c>
      <c r="C139" t="n">
        <v>312.4</v>
      </c>
      <c r="D139" t="n">
        <v>33</v>
      </c>
      <c r="E139" t="n">
        <v>0</v>
      </c>
      <c r="F139" t="n">
        <v>294</v>
      </c>
      <c r="G139" t="n">
        <v>0</v>
      </c>
      <c r="H139" t="n">
        <v>0</v>
      </c>
      <c r="I139" t="n">
        <v>0</v>
      </c>
      <c r="J139" t="n">
        <v>0</v>
      </c>
      <c r="K139" t="inlineStr">
        <is>
          <t>PIRA</t>
        </is>
      </c>
      <c r="L139" t="inlineStr">
        <is>
          <t>CE-27 ESPINALILLO YBAR</t>
        </is>
      </c>
    </row>
    <row r="140">
      <c r="A140" t="n">
        <v>18</v>
      </c>
      <c r="B140" t="inlineStr">
        <is>
          <t>Millalemu 7</t>
        </is>
      </c>
      <c r="C140" t="n">
        <v>241.66</v>
      </c>
      <c r="D140" t="n">
        <v>21</v>
      </c>
      <c r="E140" t="n">
        <v>0</v>
      </c>
      <c r="F140" t="n">
        <v>46</v>
      </c>
      <c r="G140" t="n">
        <v>0</v>
      </c>
      <c r="H140" t="n">
        <v>0</v>
      </c>
      <c r="I140" t="n">
        <v>30</v>
      </c>
      <c r="J140" t="n">
        <v>30</v>
      </c>
      <c r="K140" t="inlineStr">
        <is>
          <t>PIRA</t>
        </is>
      </c>
      <c r="L140" t="inlineStr">
        <is>
          <t>LOMA DE LA VACA</t>
        </is>
      </c>
    </row>
    <row r="141">
      <c r="A141" t="n">
        <v>18</v>
      </c>
      <c r="B141" t="inlineStr">
        <is>
          <t>Millalemu 9</t>
        </is>
      </c>
      <c r="C141" t="n">
        <v>280.59</v>
      </c>
      <c r="D141" t="n">
        <v>32</v>
      </c>
      <c r="E141" t="n">
        <v>0</v>
      </c>
      <c r="F141" t="n">
        <v>232</v>
      </c>
      <c r="G141" t="n">
        <v>120</v>
      </c>
      <c r="H141" t="n">
        <v>60</v>
      </c>
      <c r="I141" t="n">
        <v>0</v>
      </c>
      <c r="J141" t="n">
        <v>180</v>
      </c>
      <c r="K141" t="inlineStr">
        <is>
          <t>PIRA</t>
        </is>
      </c>
      <c r="L141" t="inlineStr">
        <is>
          <t>COIHUECO Y OTROS (BB)</t>
        </is>
      </c>
    </row>
    <row r="142">
      <c r="A142" t="n">
        <v>19</v>
      </c>
      <c r="B142" t="inlineStr">
        <is>
          <t>Millalemu 1.1</t>
        </is>
      </c>
      <c r="C142" t="n">
        <v>251.91</v>
      </c>
      <c r="D142" t="n">
        <v>36</v>
      </c>
      <c r="E142" t="n">
        <v>0</v>
      </c>
      <c r="F142" t="n">
        <v>264</v>
      </c>
      <c r="G142" t="n">
        <v>0</v>
      </c>
      <c r="H142" t="n">
        <v>240</v>
      </c>
      <c r="I142" t="n">
        <v>60</v>
      </c>
      <c r="J142" t="n">
        <v>300</v>
      </c>
      <c r="K142" t="inlineStr">
        <is>
          <t>PIRA</t>
        </is>
      </c>
      <c r="L142" t="inlineStr">
        <is>
          <t>QUIRIQUINO</t>
        </is>
      </c>
    </row>
    <row r="143">
      <c r="A143" t="n">
        <v>19</v>
      </c>
      <c r="B143" t="inlineStr">
        <is>
          <t>Millalemu 1.2</t>
        </is>
      </c>
      <c r="C143" t="n">
        <v>63.24</v>
      </c>
      <c r="D143" t="n">
        <v>18</v>
      </c>
      <c r="E143" t="n">
        <v>0</v>
      </c>
      <c r="F143" t="n">
        <v>189</v>
      </c>
      <c r="G143" t="n">
        <v>0</v>
      </c>
      <c r="H143" t="n">
        <v>300</v>
      </c>
      <c r="I143" t="n">
        <v>0</v>
      </c>
      <c r="J143" t="n">
        <v>300</v>
      </c>
      <c r="K143" t="inlineStr">
        <is>
          <t>PIRA</t>
        </is>
      </c>
      <c r="L143" t="inlineStr">
        <is>
          <t>COIHUECO Y OTROS (BB)</t>
        </is>
      </c>
    </row>
    <row r="144">
      <c r="A144" t="n">
        <v>19</v>
      </c>
      <c r="B144" t="inlineStr">
        <is>
          <t>Millalemu 1.3</t>
        </is>
      </c>
      <c r="C144" t="n">
        <v>114.9</v>
      </c>
      <c r="D144" t="n">
        <v>24</v>
      </c>
      <c r="E144" t="n">
        <v>0</v>
      </c>
      <c r="F144" t="n">
        <v>92</v>
      </c>
      <c r="G144" t="n">
        <v>300</v>
      </c>
      <c r="H144" t="n">
        <v>0</v>
      </c>
      <c r="I144" t="n">
        <v>0</v>
      </c>
      <c r="J144" t="n">
        <v>300</v>
      </c>
      <c r="K144" t="inlineStr">
        <is>
          <t>PIRA</t>
        </is>
      </c>
      <c r="L144" t="inlineStr">
        <is>
          <t>LAS ULLOAS (BB)</t>
        </is>
      </c>
    </row>
    <row r="145">
      <c r="A145" t="n">
        <v>19</v>
      </c>
      <c r="B145" t="inlineStr">
        <is>
          <t>Millalemu 1.4</t>
        </is>
      </c>
      <c r="C145" t="n">
        <v>151.52</v>
      </c>
      <c r="D145" t="n">
        <v>20</v>
      </c>
      <c r="E145" t="n">
        <v>0</v>
      </c>
      <c r="F145" t="n">
        <v>96</v>
      </c>
      <c r="G145" t="n">
        <v>60</v>
      </c>
      <c r="H145" t="n">
        <v>0</v>
      </c>
      <c r="I145" t="n">
        <v>0</v>
      </c>
      <c r="J145" t="n">
        <v>60</v>
      </c>
      <c r="K145" t="inlineStr">
        <is>
          <t>PIRA</t>
        </is>
      </c>
      <c r="L145" t="inlineStr">
        <is>
          <t>LAS MERCEDES C13</t>
        </is>
      </c>
    </row>
    <row r="146">
      <c r="A146" t="n">
        <v>19</v>
      </c>
      <c r="B146" t="inlineStr">
        <is>
          <t>Millalemu 11</t>
        </is>
      </c>
      <c r="C146" t="n">
        <v>316.26</v>
      </c>
      <c r="D146" t="n">
        <v>11</v>
      </c>
      <c r="E146" t="n">
        <v>0</v>
      </c>
      <c r="F146" t="n">
        <v>154</v>
      </c>
      <c r="G146" t="n">
        <v>0</v>
      </c>
      <c r="H146" t="n">
        <v>0</v>
      </c>
      <c r="I146" t="n">
        <v>0</v>
      </c>
      <c r="J146" t="n">
        <v>0</v>
      </c>
      <c r="K146" t="inlineStr">
        <is>
          <t>EUGL</t>
        </is>
      </c>
      <c r="L146" t="inlineStr">
        <is>
          <t>POLHUIN</t>
        </is>
      </c>
    </row>
    <row r="147">
      <c r="A147" t="n">
        <v>19</v>
      </c>
      <c r="B147" t="inlineStr">
        <is>
          <t>Millalemu 5</t>
        </is>
      </c>
      <c r="C147" t="n">
        <v>357.06</v>
      </c>
      <c r="D147" t="n">
        <v>33</v>
      </c>
      <c r="E147" t="n">
        <v>0</v>
      </c>
      <c r="F147" t="n">
        <v>486</v>
      </c>
      <c r="G147" t="n">
        <v>0</v>
      </c>
      <c r="H147" t="n">
        <v>0</v>
      </c>
      <c r="I147" t="n">
        <v>0</v>
      </c>
      <c r="J147" t="n">
        <v>0</v>
      </c>
      <c r="K147" t="inlineStr">
        <is>
          <t>PIRA</t>
        </is>
      </c>
      <c r="L147" t="inlineStr">
        <is>
          <t>CE-27 ESPINALILLO YBAR</t>
        </is>
      </c>
    </row>
    <row r="148">
      <c r="A148" t="n">
        <v>19</v>
      </c>
      <c r="B148" t="inlineStr">
        <is>
          <t>Millalemu 7</t>
        </is>
      </c>
      <c r="C148" t="n">
        <v>215.07</v>
      </c>
      <c r="D148" t="n">
        <v>21</v>
      </c>
      <c r="E148" t="n">
        <v>0</v>
      </c>
      <c r="F148" t="n">
        <v>66</v>
      </c>
      <c r="G148" t="n">
        <v>0</v>
      </c>
      <c r="H148" t="n">
        <v>0</v>
      </c>
      <c r="I148" t="n">
        <v>30</v>
      </c>
      <c r="J148" t="n">
        <v>30</v>
      </c>
      <c r="K148" t="inlineStr">
        <is>
          <t>PIRA</t>
        </is>
      </c>
      <c r="L148" t="inlineStr">
        <is>
          <t>LOMA DE LA VACA</t>
        </is>
      </c>
    </row>
    <row r="149">
      <c r="A149" t="n">
        <v>19</v>
      </c>
      <c r="B149" t="inlineStr">
        <is>
          <t>Millalemu 9</t>
        </is>
      </c>
      <c r="C149" t="n">
        <v>381.02</v>
      </c>
      <c r="D149" t="n">
        <v>60</v>
      </c>
      <c r="E149" t="n">
        <v>0</v>
      </c>
      <c r="F149" t="n">
        <v>396</v>
      </c>
      <c r="G149" t="n">
        <v>0</v>
      </c>
      <c r="H149" t="n">
        <v>60</v>
      </c>
      <c r="I149" t="n">
        <v>0</v>
      </c>
      <c r="J149" t="n">
        <v>60</v>
      </c>
      <c r="K149" t="inlineStr">
        <is>
          <t>PIRA</t>
        </is>
      </c>
      <c r="L149" t="inlineStr">
        <is>
          <t>COIHUECO Y OTROS (BB)</t>
        </is>
      </c>
    </row>
    <row r="150">
      <c r="A150" t="n">
        <v>20</v>
      </c>
      <c r="B150" t="inlineStr">
        <is>
          <t>Millalemu 1.1</t>
        </is>
      </c>
      <c r="C150" t="n">
        <v>100.65</v>
      </c>
      <c r="D150" t="n">
        <v>24</v>
      </c>
      <c r="E150" t="n">
        <v>0</v>
      </c>
      <c r="F150" t="n">
        <v>114</v>
      </c>
      <c r="G150" t="n">
        <v>0</v>
      </c>
      <c r="H150" t="n">
        <v>420</v>
      </c>
      <c r="I150" t="n">
        <v>0</v>
      </c>
      <c r="J150" t="n">
        <v>420</v>
      </c>
      <c r="K150" t="inlineStr">
        <is>
          <t>PIRA</t>
        </is>
      </c>
      <c r="L150" t="inlineStr">
        <is>
          <t>QUIRIQUINO</t>
        </is>
      </c>
    </row>
    <row r="151">
      <c r="A151" t="n">
        <v>20</v>
      </c>
      <c r="B151" t="inlineStr">
        <is>
          <t>Millalemu 1.2</t>
        </is>
      </c>
      <c r="C151" t="n">
        <v>175.14</v>
      </c>
      <c r="D151" t="n">
        <v>63</v>
      </c>
      <c r="E151" t="n">
        <v>0</v>
      </c>
      <c r="F151" t="n">
        <v>336</v>
      </c>
      <c r="G151" t="n">
        <v>0</v>
      </c>
      <c r="H151" t="n">
        <v>120</v>
      </c>
      <c r="I151" t="n">
        <v>0</v>
      </c>
      <c r="J151" t="n">
        <v>120</v>
      </c>
      <c r="K151" t="inlineStr">
        <is>
          <t>PIRA</t>
        </is>
      </c>
      <c r="L151" t="inlineStr">
        <is>
          <t>COIHUECO Y OTROS (BB)</t>
        </is>
      </c>
    </row>
    <row r="152">
      <c r="A152" t="n">
        <v>20</v>
      </c>
      <c r="B152" t="inlineStr">
        <is>
          <t>Millalemu 1.3</t>
        </is>
      </c>
      <c r="C152" t="n">
        <v>94.5</v>
      </c>
      <c r="D152" t="n">
        <v>20</v>
      </c>
      <c r="E152" t="n">
        <v>0</v>
      </c>
      <c r="F152" t="n">
        <v>160</v>
      </c>
      <c r="G152" t="n">
        <v>360</v>
      </c>
      <c r="H152" t="n">
        <v>0</v>
      </c>
      <c r="I152" t="n">
        <v>0</v>
      </c>
      <c r="J152" t="n">
        <v>360</v>
      </c>
      <c r="K152" t="inlineStr">
        <is>
          <t>PIRA</t>
        </is>
      </c>
      <c r="L152" t="inlineStr">
        <is>
          <t>LAS ULLOAS (BB)</t>
        </is>
      </c>
    </row>
    <row r="153">
      <c r="A153" t="n">
        <v>20</v>
      </c>
      <c r="B153" t="inlineStr">
        <is>
          <t>Millalemu 11</t>
        </is>
      </c>
      <c r="C153" t="n">
        <v>381</v>
      </c>
      <c r="D153" t="n">
        <v>20</v>
      </c>
      <c r="E153" t="n">
        <v>0</v>
      </c>
      <c r="F153" t="n">
        <v>524</v>
      </c>
      <c r="G153" t="n">
        <v>0</v>
      </c>
      <c r="H153" t="n">
        <v>120</v>
      </c>
      <c r="I153" t="n">
        <v>0</v>
      </c>
      <c r="J153" t="n">
        <v>120</v>
      </c>
      <c r="K153" t="inlineStr">
        <is>
          <t>PIRA</t>
        </is>
      </c>
      <c r="L153" t="inlineStr">
        <is>
          <t>POLHUIN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79"/>
  <sheetViews>
    <sheetView workbookViewId="0">
      <selection activeCell="A1" sqref="A1"/>
    </sheetView>
  </sheetViews>
  <sheetFormatPr baseColWidth="8" defaultRowHeight="15"/>
  <sheetData>
    <row r="1">
      <c r="A1" s="276" t="inlineStr">
        <is>
          <t>Dia</t>
        </is>
      </c>
      <c r="B1" s="276" t="inlineStr">
        <is>
          <t>Team</t>
        </is>
      </c>
      <c r="C1" s="276" t="inlineStr">
        <is>
          <t>Codigo</t>
        </is>
      </c>
      <c r="D1" s="276" t="inlineStr">
        <is>
          <t>Descripcion</t>
        </is>
      </c>
      <c r="E1" s="276" t="inlineStr">
        <is>
          <t>Clasificacion</t>
        </is>
      </c>
      <c r="F1" s="276" t="inlineStr">
        <is>
          <t>Minutos</t>
        </is>
      </c>
      <c r="G1" s="276" t="inlineStr">
        <is>
          <t>Observacion</t>
        </is>
      </c>
    </row>
    <row r="2">
      <c r="A2" t="n">
        <v>1</v>
      </c>
      <c r="B2" t="inlineStr">
        <is>
          <t>Millalemu 5</t>
        </is>
      </c>
      <c r="C2" t="n">
        <v>42</v>
      </c>
      <c r="D2" t="inlineStr">
        <is>
          <t>Descanso/Pausa programada</t>
        </is>
      </c>
      <c r="E2" t="inlineStr">
        <is>
          <t>Proceso</t>
        </is>
      </c>
      <c r="F2" t="n">
        <v>660</v>
      </c>
      <c r="G2" t="inlineStr">
        <is>
          <t>Feriado 1ro de Mayo, no se trabajo.</t>
        </is>
      </c>
    </row>
    <row r="3">
      <c r="A3" t="n">
        <v>1</v>
      </c>
      <c r="B3" t="inlineStr">
        <is>
          <t>Millalemu 11</t>
        </is>
      </c>
      <c r="C3" t="n">
        <v>42</v>
      </c>
      <c r="D3" t="inlineStr">
        <is>
          <t>Descanso/Pausa programada</t>
        </is>
      </c>
      <c r="E3" t="inlineStr">
        <is>
          <t>Proceso</t>
        </is>
      </c>
      <c r="F3" t="n">
        <v>660</v>
      </c>
      <c r="G3" t="inlineStr">
        <is>
          <t>Feriado 1ro de Mayo, no se trabajo.</t>
        </is>
      </c>
    </row>
    <row r="4">
      <c r="A4" t="n">
        <v>1</v>
      </c>
      <c r="B4" t="inlineStr">
        <is>
          <t>Millalemu 7</t>
        </is>
      </c>
      <c r="C4" t="n">
        <v>42</v>
      </c>
      <c r="D4" t="inlineStr">
        <is>
          <t>Descanso/Pausa programada</t>
        </is>
      </c>
      <c r="E4" t="inlineStr">
        <is>
          <t>Proceso</t>
        </is>
      </c>
      <c r="F4" t="n">
        <v>660</v>
      </c>
      <c r="G4" t="inlineStr">
        <is>
          <t>Feriado 1ro de Mayo, no se trabajo.</t>
        </is>
      </c>
    </row>
    <row r="5">
      <c r="A5" t="n">
        <v>2</v>
      </c>
      <c r="B5" t="inlineStr">
        <is>
          <t>Millalemu 1.1</t>
        </is>
      </c>
      <c r="C5" t="n">
        <v>43</v>
      </c>
      <c r="D5" t="inlineStr">
        <is>
          <t>Colacion</t>
        </is>
      </c>
      <c r="E5" t="inlineStr">
        <is>
          <t>Proceso</t>
        </is>
      </c>
      <c r="F5" t="n">
        <v>30</v>
      </c>
      <c r="G5" t="inlineStr">
        <is>
          <t>Colacion</t>
        </is>
      </c>
    </row>
    <row r="6">
      <c r="A6" t="n">
        <v>2</v>
      </c>
      <c r="B6" t="inlineStr">
        <is>
          <t>Millalemu 1.1</t>
        </is>
      </c>
      <c r="C6" t="n">
        <v>17</v>
      </c>
      <c r="D6" t="inlineStr">
        <is>
          <t>Falta de trozado</t>
        </is>
      </c>
      <c r="E6" t="inlineStr">
        <is>
          <t>Operacional</t>
        </is>
      </c>
      <c r="F6" t="n">
        <v>30</v>
      </c>
      <c r="G6" t="inlineStr">
        <is>
          <t>Afilado de cadena</t>
        </is>
      </c>
    </row>
    <row r="7">
      <c r="A7" t="n">
        <v>2</v>
      </c>
      <c r="B7" t="inlineStr">
        <is>
          <t>Millalemu 1.1</t>
        </is>
      </c>
      <c r="C7" t="n">
        <v>17</v>
      </c>
      <c r="D7" t="inlineStr">
        <is>
          <t>Falta de trozado</t>
        </is>
      </c>
      <c r="E7" t="inlineStr">
        <is>
          <t>Operacional</t>
        </is>
      </c>
      <c r="F7" t="n">
        <v>30</v>
      </c>
      <c r="G7" t="inlineStr">
        <is>
          <t>Afilado de cadena</t>
        </is>
      </c>
    </row>
    <row r="8">
      <c r="A8" t="n">
        <v>2</v>
      </c>
      <c r="B8" t="inlineStr">
        <is>
          <t>Millalemu 5</t>
        </is>
      </c>
      <c r="C8" t="n">
        <v>4</v>
      </c>
      <c r="D8" t="inlineStr">
        <is>
          <t>Reparacion/Falla equipo de Trozado</t>
        </is>
      </c>
      <c r="E8" t="inlineStr">
        <is>
          <t>Mantención</t>
        </is>
      </c>
      <c r="F8" t="n">
        <v>360</v>
      </c>
      <c r="G8" t="inlineStr">
        <is>
          <t>Falla de cañería se saca y se manda a reparar a taller</t>
        </is>
      </c>
    </row>
    <row r="9">
      <c r="A9" t="n">
        <v>2</v>
      </c>
      <c r="B9" t="inlineStr">
        <is>
          <t>Millalemu 9</t>
        </is>
      </c>
      <c r="C9" t="n">
        <v>4</v>
      </c>
      <c r="D9" t="inlineStr">
        <is>
          <t>Reparacion/Falla equipo de Trozado</t>
        </is>
      </c>
      <c r="E9" t="inlineStr">
        <is>
          <t>Mantención</t>
        </is>
      </c>
      <c r="F9" t="n">
        <v>660</v>
      </c>
      <c r="G9" t="inlineStr">
        <is>
          <t>Procesador en pane por robo de piezas del cabezal</t>
        </is>
      </c>
    </row>
    <row r="10">
      <c r="A10" t="n">
        <v>2</v>
      </c>
      <c r="B10" t="inlineStr">
        <is>
          <t>Millalemu 7</t>
        </is>
      </c>
      <c r="C10" t="n">
        <v>42</v>
      </c>
      <c r="D10" t="inlineStr">
        <is>
          <t>Descanso/Pausa programada</t>
        </is>
      </c>
      <c r="E10" t="inlineStr">
        <is>
          <t>Proceso</t>
        </is>
      </c>
      <c r="F10" t="n">
        <v>30</v>
      </c>
      <c r="G10" t="inlineStr">
        <is>
          <t>Pausa activa</t>
        </is>
      </c>
    </row>
    <row r="11">
      <c r="A11" t="n">
        <v>2</v>
      </c>
      <c r="B11" t="inlineStr">
        <is>
          <t>Millalemu 1.4</t>
        </is>
      </c>
      <c r="C11" t="n">
        <v>4</v>
      </c>
      <c r="D11" t="inlineStr">
        <is>
          <t>Reparacion/Falla equipo de Trozado</t>
        </is>
      </c>
      <c r="E11" t="inlineStr">
        <is>
          <t>Mantención</t>
        </is>
      </c>
      <c r="F11" t="n">
        <v>600</v>
      </c>
      <c r="G11" t="inlineStr"/>
    </row>
    <row r="12">
      <c r="A12" t="n">
        <v>2</v>
      </c>
      <c r="B12" t="inlineStr">
        <is>
          <t>Millalemu 1.3</t>
        </is>
      </c>
      <c r="C12" t="n">
        <v>1</v>
      </c>
      <c r="D12" t="inlineStr">
        <is>
          <t>Reparacion/Falla equipo de volteo</t>
        </is>
      </c>
      <c r="E12" t="inlineStr">
        <is>
          <t>Mantención</t>
        </is>
      </c>
      <c r="F12" t="n">
        <v>300</v>
      </c>
      <c r="G12" t="inlineStr"/>
    </row>
    <row r="13">
      <c r="A13" t="n">
        <v>2</v>
      </c>
      <c r="B13" t="inlineStr">
        <is>
          <t>Millalemu 11</t>
        </is>
      </c>
      <c r="C13" t="n">
        <v>25</v>
      </c>
      <c r="D13" t="inlineStr">
        <is>
          <t>Instalacion de torre (vientos/ soportes)</t>
        </is>
      </c>
      <c r="E13" t="inlineStr">
        <is>
          <t>Operacional</t>
        </is>
      </c>
      <c r="F13" t="n">
        <v>120</v>
      </c>
      <c r="G13" t="inlineStr"/>
    </row>
    <row r="14">
      <c r="A14" t="n">
        <v>2</v>
      </c>
      <c r="B14" t="inlineStr">
        <is>
          <t>Millalemu 1.2</t>
        </is>
      </c>
      <c r="C14" t="n">
        <v>20</v>
      </c>
      <c r="D14" t="inlineStr">
        <is>
          <t>Falta/abstecimiento de combustible equipo de volte</t>
        </is>
      </c>
      <c r="E14" t="inlineStr">
        <is>
          <t>Operacional</t>
        </is>
      </c>
      <c r="F14" t="n">
        <v>120</v>
      </c>
      <c r="G14" t="inlineStr">
        <is>
          <t>Fslts combustible se csrgan los ewuipo con menos combudtible psra evitar rrobo</t>
        </is>
      </c>
    </row>
    <row r="15">
      <c r="A15" t="n">
        <v>3</v>
      </c>
      <c r="B15" t="inlineStr">
        <is>
          <t>Millalemu 1.1</t>
        </is>
      </c>
      <c r="C15" t="n">
        <v>1</v>
      </c>
      <c r="D15" t="inlineStr">
        <is>
          <t>Reparacion/Falla equipo de volteo</t>
        </is>
      </c>
      <c r="E15" t="inlineStr">
        <is>
          <t>Mantención</t>
        </is>
      </c>
      <c r="F15" t="n">
        <v>120</v>
      </c>
      <c r="G15" t="inlineStr">
        <is>
          <t>Falla equipo de volteo</t>
        </is>
      </c>
    </row>
    <row r="16">
      <c r="A16" t="n">
        <v>3</v>
      </c>
      <c r="B16" t="inlineStr">
        <is>
          <t>Millalemu 1.1</t>
        </is>
      </c>
      <c r="C16" t="n">
        <v>1</v>
      </c>
      <c r="D16" t="inlineStr">
        <is>
          <t>Reparacion/Falla equipo de volteo</t>
        </is>
      </c>
      <c r="E16" t="inlineStr">
        <is>
          <t>Mantención</t>
        </is>
      </c>
      <c r="F16" t="n">
        <v>60</v>
      </c>
      <c r="G16" t="inlineStr">
        <is>
          <t>Reparaxion equipo de volteo</t>
        </is>
      </c>
    </row>
    <row r="17">
      <c r="A17" t="n">
        <v>3</v>
      </c>
      <c r="B17" t="inlineStr">
        <is>
          <t>Millalemu 11</t>
        </is>
      </c>
      <c r="C17" t="n">
        <v>2</v>
      </c>
      <c r="D17" t="inlineStr">
        <is>
          <t>Reparacion/Falla de equipo de madereo</t>
        </is>
      </c>
      <c r="E17" t="inlineStr">
        <is>
          <t>Mantención</t>
        </is>
      </c>
      <c r="F17" t="n">
        <v>60</v>
      </c>
      <c r="G17" t="inlineStr"/>
    </row>
    <row r="18">
      <c r="A18" t="n">
        <v>3</v>
      </c>
      <c r="B18" t="inlineStr">
        <is>
          <t>Millalemu 11</t>
        </is>
      </c>
      <c r="C18" t="n">
        <v>2</v>
      </c>
      <c r="D18" t="inlineStr">
        <is>
          <t>Reparacion/Falla de equipo de madereo</t>
        </is>
      </c>
      <c r="E18" t="inlineStr">
        <is>
          <t>Mantención</t>
        </is>
      </c>
      <c r="F18" t="n">
        <v>60</v>
      </c>
      <c r="G18" t="inlineStr"/>
    </row>
    <row r="19">
      <c r="A19" t="n">
        <v>3</v>
      </c>
      <c r="B19" t="inlineStr">
        <is>
          <t>Millalemu 7</t>
        </is>
      </c>
      <c r="C19" t="n">
        <v>42</v>
      </c>
      <c r="D19" t="inlineStr">
        <is>
          <t>Descanso/Pausa programada</t>
        </is>
      </c>
      <c r="E19" t="inlineStr">
        <is>
          <t>Proceso</t>
        </is>
      </c>
      <c r="F19" t="n">
        <v>30</v>
      </c>
      <c r="G19" t="inlineStr">
        <is>
          <t>Pausa activa</t>
        </is>
      </c>
    </row>
    <row r="20">
      <c r="A20" t="n">
        <v>3</v>
      </c>
      <c r="B20" t="inlineStr">
        <is>
          <t>Millalemu 1.4</t>
        </is>
      </c>
      <c r="C20" t="n">
        <v>4</v>
      </c>
      <c r="D20" t="inlineStr">
        <is>
          <t>Reparacion/Falla equipo de Trozado</t>
        </is>
      </c>
      <c r="E20" t="inlineStr">
        <is>
          <t>Mantención</t>
        </is>
      </c>
      <c r="F20" t="n">
        <v>600</v>
      </c>
      <c r="G20" t="inlineStr"/>
    </row>
    <row r="21">
      <c r="A21" t="n">
        <v>3</v>
      </c>
      <c r="B21" t="inlineStr">
        <is>
          <t>Millalemu 1.3</t>
        </is>
      </c>
      <c r="C21" t="n">
        <v>4</v>
      </c>
      <c r="D21" t="inlineStr">
        <is>
          <t>Reparacion/Falla equipo de Trozado</t>
        </is>
      </c>
      <c r="E21" t="inlineStr">
        <is>
          <t>Mantención</t>
        </is>
      </c>
      <c r="F21" t="n">
        <v>240</v>
      </c>
      <c r="G21" t="inlineStr"/>
    </row>
    <row r="22">
      <c r="A22" t="n">
        <v>3</v>
      </c>
      <c r="B22" t="inlineStr">
        <is>
          <t>Millalemu 9</t>
        </is>
      </c>
      <c r="C22" t="n">
        <v>4</v>
      </c>
      <c r="D22" t="inlineStr">
        <is>
          <t>Reparacion/Falla equipo de Trozado</t>
        </is>
      </c>
      <c r="E22" t="inlineStr">
        <is>
          <t>Mantención</t>
        </is>
      </c>
      <c r="F22" t="n">
        <v>660</v>
      </c>
      <c r="G22" t="inlineStr">
        <is>
          <t>Robo de piezas al procesador</t>
        </is>
      </c>
    </row>
    <row r="23">
      <c r="A23" t="n">
        <v>3</v>
      </c>
      <c r="B23" t="inlineStr">
        <is>
          <t>Millalemu 1.2</t>
        </is>
      </c>
      <c r="C23" t="n">
        <v>20</v>
      </c>
      <c r="D23" t="inlineStr">
        <is>
          <t>Falta/abstecimiento de combustible equipo de volte</t>
        </is>
      </c>
      <c r="E23" t="inlineStr">
        <is>
          <t>Operacional</t>
        </is>
      </c>
      <c r="F23" t="n">
        <v>120</v>
      </c>
      <c r="G23" t="inlineStr">
        <is>
          <t>Fslta d3 combustible</t>
        </is>
      </c>
    </row>
    <row r="24">
      <c r="A24" t="n">
        <v>4</v>
      </c>
      <c r="B24" t="inlineStr">
        <is>
          <t>Millalemu 1.3</t>
        </is>
      </c>
      <c r="C24" t="n">
        <v>32</v>
      </c>
      <c r="D24" t="inlineStr">
        <is>
          <t>Carguio de camiones</t>
        </is>
      </c>
      <c r="E24" t="inlineStr">
        <is>
          <t>Operacional</t>
        </is>
      </c>
      <c r="F24" t="n">
        <v>120</v>
      </c>
      <c r="G24" t="inlineStr"/>
    </row>
    <row r="25">
      <c r="A25" t="n">
        <v>4</v>
      </c>
      <c r="B25" t="inlineStr">
        <is>
          <t>Millalemu 1.1</t>
        </is>
      </c>
      <c r="C25" t="n">
        <v>5</v>
      </c>
      <c r="D25" t="inlineStr">
        <is>
          <t>Reparacion/Falla de equipo de clasificado/carguio</t>
        </is>
      </c>
      <c r="E25" t="inlineStr">
        <is>
          <t>Mantención</t>
        </is>
      </c>
      <c r="F25" t="n">
        <v>30</v>
      </c>
      <c r="G25" t="inlineStr">
        <is>
          <t>Reparacion falla equipo de clasificado</t>
        </is>
      </c>
    </row>
    <row r="26">
      <c r="A26" t="n">
        <v>4</v>
      </c>
      <c r="B26" t="inlineStr">
        <is>
          <t>Millalemu 1.1</t>
        </is>
      </c>
      <c r="C26" t="n">
        <v>5</v>
      </c>
      <c r="D26" t="inlineStr">
        <is>
          <t>Reparacion/Falla de equipo de clasificado/carguio</t>
        </is>
      </c>
      <c r="E26" t="inlineStr">
        <is>
          <t>Mantención</t>
        </is>
      </c>
      <c r="F26" t="n">
        <v>120</v>
      </c>
      <c r="G26" t="inlineStr">
        <is>
          <t>Falla equipo de clasificado</t>
        </is>
      </c>
    </row>
    <row r="27">
      <c r="A27" t="n">
        <v>4</v>
      </c>
      <c r="B27" t="inlineStr">
        <is>
          <t>Millalemu 1.4</t>
        </is>
      </c>
      <c r="C27" t="n">
        <v>4</v>
      </c>
      <c r="D27" t="inlineStr">
        <is>
          <t>Reparacion/Falla equipo de Trozado</t>
        </is>
      </c>
      <c r="E27" t="inlineStr">
        <is>
          <t>Mantención</t>
        </is>
      </c>
      <c r="F27" t="n">
        <v>600</v>
      </c>
      <c r="G27" t="inlineStr"/>
    </row>
    <row r="28">
      <c r="A28" t="n">
        <v>4</v>
      </c>
      <c r="B28" t="inlineStr">
        <is>
          <t>Millalemu 9</t>
        </is>
      </c>
      <c r="C28" t="n">
        <v>4</v>
      </c>
      <c r="D28" t="inlineStr">
        <is>
          <t>Reparacion/Falla equipo de Trozado</t>
        </is>
      </c>
      <c r="E28" t="inlineStr">
        <is>
          <t>Mantención</t>
        </is>
      </c>
      <c r="F28" t="n">
        <v>660</v>
      </c>
      <c r="G28" t="inlineStr">
        <is>
          <t>Por robo piezas cabezal</t>
        </is>
      </c>
    </row>
    <row r="29">
      <c r="A29" t="n">
        <v>4</v>
      </c>
      <c r="B29" t="inlineStr">
        <is>
          <t>Millalemu 1.2</t>
        </is>
      </c>
      <c r="C29" t="n">
        <v>33</v>
      </c>
      <c r="D29" t="inlineStr">
        <is>
          <t>Cancha o camino en mal estado</t>
        </is>
      </c>
      <c r="E29" t="inlineStr">
        <is>
          <t>Operacional</t>
        </is>
      </c>
      <c r="F29" t="n">
        <v>300</v>
      </c>
      <c r="G29" t="inlineStr">
        <is>
          <t>Camino en mal estado 5 hora para salir a cargar combustible</t>
        </is>
      </c>
    </row>
    <row r="30">
      <c r="A30" t="n">
        <v>4</v>
      </c>
      <c r="B30" t="inlineStr">
        <is>
          <t>Millalemu 5</t>
        </is>
      </c>
      <c r="C30" t="n">
        <v>32</v>
      </c>
      <c r="D30" t="inlineStr">
        <is>
          <t>Carguio de camiones</t>
        </is>
      </c>
      <c r="E30" t="inlineStr">
        <is>
          <t>Operacional</t>
        </is>
      </c>
      <c r="F30" t="n">
        <v>60</v>
      </c>
      <c r="G30" t="inlineStr">
        <is>
          <t>Se carga para generar espacios por ecceso de madera en cancha</t>
        </is>
      </c>
    </row>
    <row r="31">
      <c r="A31" t="n">
        <v>4</v>
      </c>
      <c r="B31" t="inlineStr">
        <is>
          <t>Millalemu 1.2</t>
        </is>
      </c>
      <c r="C31" t="n">
        <v>15</v>
      </c>
      <c r="D31" t="inlineStr">
        <is>
          <t>Falta o atraso de personal</t>
        </is>
      </c>
      <c r="E31" t="inlineStr">
        <is>
          <t>Operacional</t>
        </is>
      </c>
      <c r="F31" t="n">
        <v>60</v>
      </c>
      <c r="G31" t="inlineStr">
        <is>
          <t>Falta segregacion ruta empresa externa</t>
        </is>
      </c>
    </row>
    <row r="32">
      <c r="A32" t="n">
        <v>4</v>
      </c>
      <c r="B32" t="inlineStr">
        <is>
          <t>Millalemu 7</t>
        </is>
      </c>
      <c r="C32" t="n">
        <v>42</v>
      </c>
      <c r="D32" t="inlineStr">
        <is>
          <t>Descanso/Pausa programada</t>
        </is>
      </c>
      <c r="E32" t="inlineStr">
        <is>
          <t>Proceso</t>
        </is>
      </c>
      <c r="F32" t="n">
        <v>30</v>
      </c>
      <c r="G32" t="inlineStr">
        <is>
          <t>Pausa activa</t>
        </is>
      </c>
    </row>
    <row r="33">
      <c r="A33" t="n">
        <v>5</v>
      </c>
      <c r="B33" t="inlineStr">
        <is>
          <t>Millalemu 9</t>
        </is>
      </c>
      <c r="C33" t="n">
        <v>4</v>
      </c>
      <c r="D33" t="inlineStr">
        <is>
          <t>Reparacion/Falla equipo de Trozado</t>
        </is>
      </c>
      <c r="E33" t="inlineStr">
        <is>
          <t>Mantención</t>
        </is>
      </c>
      <c r="F33" t="n">
        <v>660</v>
      </c>
      <c r="G33" t="inlineStr">
        <is>
          <t>Por robo de piezas al cabezal</t>
        </is>
      </c>
    </row>
    <row r="34">
      <c r="A34" t="n">
        <v>5</v>
      </c>
      <c r="B34" t="inlineStr">
        <is>
          <t>Millalemu 1.4</t>
        </is>
      </c>
      <c r="C34" t="n">
        <v>4</v>
      </c>
      <c r="D34" t="inlineStr">
        <is>
          <t>Reparacion/Falla equipo de Trozado</t>
        </is>
      </c>
      <c r="E34" t="inlineStr">
        <is>
          <t>Mantención</t>
        </is>
      </c>
      <c r="F34" t="n">
        <v>30</v>
      </c>
      <c r="G34" t="inlineStr">
        <is>
          <t>Cambio y afilado de cadenas</t>
        </is>
      </c>
    </row>
    <row r="35">
      <c r="A35" t="n">
        <v>5</v>
      </c>
      <c r="B35" t="inlineStr">
        <is>
          <t>Millalemu 1.3</t>
        </is>
      </c>
      <c r="C35" t="n">
        <v>33</v>
      </c>
      <c r="D35" t="inlineStr">
        <is>
          <t>Cancha o camino en mal estado</t>
        </is>
      </c>
      <c r="E35" t="inlineStr">
        <is>
          <t>Operacional</t>
        </is>
      </c>
      <c r="F35" t="n">
        <v>120</v>
      </c>
      <c r="G35" t="inlineStr">
        <is>
          <t xml:space="preserve">Madereo 450 mtrs de distancis </t>
        </is>
      </c>
    </row>
    <row r="36">
      <c r="A36" t="n">
        <v>5</v>
      </c>
      <c r="B36" t="inlineStr">
        <is>
          <t>Millalemu 1.1</t>
        </is>
      </c>
      <c r="C36" t="n">
        <v>17</v>
      </c>
      <c r="D36" t="inlineStr">
        <is>
          <t>Falta de trozado</t>
        </is>
      </c>
      <c r="E36" t="inlineStr">
        <is>
          <t>Operacional</t>
        </is>
      </c>
      <c r="F36" t="n">
        <v>180</v>
      </c>
      <c r="G36" t="inlineStr">
        <is>
          <t>Falta de trozado por espera de arrumado</t>
        </is>
      </c>
    </row>
    <row r="37">
      <c r="A37" t="n">
        <v>5</v>
      </c>
      <c r="B37" t="inlineStr">
        <is>
          <t>Millalemu 1.1</t>
        </is>
      </c>
      <c r="C37" t="n">
        <v>22</v>
      </c>
      <c r="D37" t="inlineStr">
        <is>
          <t>Falta/abstecimiento de combustible equipo de proce</t>
        </is>
      </c>
      <c r="E37" t="inlineStr">
        <is>
          <t>Operacional</t>
        </is>
      </c>
      <c r="F37" t="n">
        <v>30</v>
      </c>
      <c r="G37" t="inlineStr">
        <is>
          <t>Abastecimiento combustible</t>
        </is>
      </c>
    </row>
    <row r="38">
      <c r="A38" t="n">
        <v>5</v>
      </c>
      <c r="B38" t="inlineStr">
        <is>
          <t>Millalemu 1.2</t>
        </is>
      </c>
      <c r="C38" t="n">
        <v>16</v>
      </c>
      <c r="D38" t="inlineStr">
        <is>
          <t>Falta de clasificado y arrumado</t>
        </is>
      </c>
      <c r="E38" t="inlineStr">
        <is>
          <t>Operacional</t>
        </is>
      </c>
      <c r="F38" t="n">
        <v>240</v>
      </c>
      <c r="G38" t="inlineStr">
        <is>
          <t>2 horas falta petroleo 2 horas falta segregacion  ruta 1 hora falla equipo clasificado</t>
        </is>
      </c>
    </row>
    <row r="39">
      <c r="A39" t="n">
        <v>5</v>
      </c>
      <c r="B39" t="inlineStr">
        <is>
          <t>Millalemu 7</t>
        </is>
      </c>
      <c r="C39" t="n">
        <v>42</v>
      </c>
      <c r="D39" t="inlineStr">
        <is>
          <t>Descanso/Pausa programada</t>
        </is>
      </c>
      <c r="E39" t="inlineStr">
        <is>
          <t>Proceso</t>
        </is>
      </c>
      <c r="F39" t="n">
        <v>30</v>
      </c>
      <c r="G39" t="inlineStr">
        <is>
          <t>Pausa activa</t>
        </is>
      </c>
    </row>
    <row r="40">
      <c r="A40" t="n">
        <v>6</v>
      </c>
      <c r="B40" t="inlineStr">
        <is>
          <t>Millalemu 1.4</t>
        </is>
      </c>
      <c r="C40" t="n">
        <v>4</v>
      </c>
      <c r="D40" t="inlineStr">
        <is>
          <t>Reparacion/Falla equipo de Trozado</t>
        </is>
      </c>
      <c r="E40" t="inlineStr">
        <is>
          <t>Mantención</t>
        </is>
      </c>
      <c r="F40" t="n">
        <v>30</v>
      </c>
      <c r="G40" t="inlineStr">
        <is>
          <t>Afido y cambio de cadenas</t>
        </is>
      </c>
    </row>
    <row r="41">
      <c r="A41" t="n">
        <v>6</v>
      </c>
      <c r="B41" t="inlineStr">
        <is>
          <t>Millalemu 1.4</t>
        </is>
      </c>
      <c r="C41" t="n">
        <v>5</v>
      </c>
      <c r="D41" t="inlineStr">
        <is>
          <t>Reparacion/Falla de equipo de clasificado/carguio</t>
        </is>
      </c>
      <c r="E41" t="inlineStr">
        <is>
          <t>Mantención</t>
        </is>
      </c>
      <c r="F41" t="n">
        <v>60</v>
      </c>
      <c r="G41" t="inlineStr"/>
    </row>
    <row r="42">
      <c r="A42" t="n">
        <v>6</v>
      </c>
      <c r="B42" t="inlineStr">
        <is>
          <t>Millalemu 1.1</t>
        </is>
      </c>
      <c r="C42" t="n">
        <v>43</v>
      </c>
      <c r="D42" t="inlineStr">
        <is>
          <t>Colacion</t>
        </is>
      </c>
      <c r="E42" t="inlineStr">
        <is>
          <t>Proceso</t>
        </is>
      </c>
      <c r="F42" t="n">
        <v>30</v>
      </c>
      <c r="G42" t="inlineStr">
        <is>
          <t>Colacion</t>
        </is>
      </c>
    </row>
    <row r="43">
      <c r="A43" t="n">
        <v>6</v>
      </c>
      <c r="B43" t="inlineStr">
        <is>
          <t>Millalemu 1.1</t>
        </is>
      </c>
      <c r="C43" t="n">
        <v>22</v>
      </c>
      <c r="D43" t="inlineStr">
        <is>
          <t>Falta/abstecimiento de combustible equipo de proce</t>
        </is>
      </c>
      <c r="E43" t="inlineStr">
        <is>
          <t>Operacional</t>
        </is>
      </c>
      <c r="F43" t="n">
        <v>30</v>
      </c>
      <c r="G43" t="inlineStr">
        <is>
          <t>Abastecimiento combustible</t>
        </is>
      </c>
    </row>
    <row r="44">
      <c r="A44" t="n">
        <v>6</v>
      </c>
      <c r="B44" t="inlineStr">
        <is>
          <t>Millalemu 1.1</t>
        </is>
      </c>
      <c r="C44" t="n">
        <v>17</v>
      </c>
      <c r="D44" t="inlineStr">
        <is>
          <t>Falta de trozado</t>
        </is>
      </c>
      <c r="E44" t="inlineStr">
        <is>
          <t>Operacional</t>
        </is>
      </c>
      <c r="F44" t="n">
        <v>30</v>
      </c>
      <c r="G44" t="inlineStr">
        <is>
          <t>Afilado de cadena</t>
        </is>
      </c>
    </row>
    <row r="45">
      <c r="A45" t="n">
        <v>6</v>
      </c>
      <c r="B45" t="inlineStr">
        <is>
          <t>Millalemu 1.2</t>
        </is>
      </c>
      <c r="C45" t="n">
        <v>33</v>
      </c>
      <c r="D45" t="inlineStr">
        <is>
          <t>Cancha o camino en mal estado</t>
        </is>
      </c>
      <c r="E45" t="inlineStr">
        <is>
          <t>Operacional</t>
        </is>
      </c>
      <c r="F45" t="n">
        <v>120</v>
      </c>
      <c r="G45" t="inlineStr">
        <is>
          <t>2 hora camino en mal estado salida de maquina a xargar combustible 1 hora falta segregacion ruta</t>
        </is>
      </c>
    </row>
    <row r="46">
      <c r="A46" t="n">
        <v>6</v>
      </c>
      <c r="B46" t="inlineStr">
        <is>
          <t>Millalemu 7</t>
        </is>
      </c>
      <c r="C46" t="n">
        <v>42</v>
      </c>
      <c r="D46" t="inlineStr">
        <is>
          <t>Descanso/Pausa programada</t>
        </is>
      </c>
      <c r="E46" t="inlineStr">
        <is>
          <t>Proceso</t>
        </is>
      </c>
      <c r="F46" t="n">
        <v>30</v>
      </c>
      <c r="G46" t="inlineStr">
        <is>
          <t>Pausa activa</t>
        </is>
      </c>
    </row>
    <row r="47">
      <c r="A47" t="n">
        <v>6</v>
      </c>
      <c r="B47" t="inlineStr">
        <is>
          <t>Millalemu 1.3</t>
        </is>
      </c>
      <c r="C47" t="n">
        <v>68</v>
      </c>
      <c r="D47" t="inlineStr">
        <is>
          <t>Sobre Shoveleo</t>
        </is>
      </c>
      <c r="E47" t="inlineStr">
        <is>
          <t>Operacional</t>
        </is>
      </c>
      <c r="F47" t="n">
        <v>480</v>
      </c>
      <c r="G47" t="inlineStr">
        <is>
          <t>Inicio de turno sin stock de arboles para iniciar trozado normal</t>
        </is>
      </c>
    </row>
    <row r="48">
      <c r="A48" t="n">
        <v>6</v>
      </c>
      <c r="B48" t="inlineStr">
        <is>
          <t>Millalemu 9</t>
        </is>
      </c>
      <c r="C48" t="n">
        <v>4</v>
      </c>
      <c r="D48" t="inlineStr">
        <is>
          <t>Reparacion/Falla equipo de Trozado</t>
        </is>
      </c>
      <c r="E48" t="inlineStr">
        <is>
          <t>Mantención</t>
        </is>
      </c>
      <c r="F48" t="n">
        <v>630</v>
      </c>
      <c r="G48" t="inlineStr">
        <is>
          <t>Robo modulo de cabezal</t>
        </is>
      </c>
    </row>
    <row r="49">
      <c r="A49" t="n">
        <v>7</v>
      </c>
      <c r="B49" t="inlineStr">
        <is>
          <t>Millalemu 1.4</t>
        </is>
      </c>
      <c r="C49" t="n">
        <v>4</v>
      </c>
      <c r="D49" t="inlineStr">
        <is>
          <t>Reparacion/Falla equipo de Trozado</t>
        </is>
      </c>
      <c r="E49" t="inlineStr">
        <is>
          <t>Mantención</t>
        </is>
      </c>
      <c r="F49" t="n">
        <v>30</v>
      </c>
      <c r="G49" t="inlineStr">
        <is>
          <t>Afilado y cambio de cadenas</t>
        </is>
      </c>
    </row>
    <row r="50">
      <c r="A50" t="n">
        <v>7</v>
      </c>
      <c r="B50" t="inlineStr">
        <is>
          <t>Millalemu 11</t>
        </is>
      </c>
      <c r="C50" t="n">
        <v>5</v>
      </c>
      <c r="D50" t="inlineStr">
        <is>
          <t>Reparacion/Falla de equipo de clasificado/carguio</t>
        </is>
      </c>
      <c r="E50" t="inlineStr">
        <is>
          <t>Mantención</t>
        </is>
      </c>
      <c r="F50" t="n">
        <v>120</v>
      </c>
      <c r="G50" t="inlineStr"/>
    </row>
    <row r="51">
      <c r="A51" t="n">
        <v>7</v>
      </c>
      <c r="B51" t="inlineStr">
        <is>
          <t>Millalemu 1.2</t>
        </is>
      </c>
      <c r="C51" t="n">
        <v>4</v>
      </c>
      <c r="D51" t="inlineStr">
        <is>
          <t>Reparacion/Falla equipo de Trozado</t>
        </is>
      </c>
      <c r="E51" t="inlineStr">
        <is>
          <t>Mantención</t>
        </is>
      </c>
      <c r="F51" t="n">
        <v>120</v>
      </c>
      <c r="G51" t="inlineStr">
        <is>
          <t>Falla equipo de trozado</t>
        </is>
      </c>
    </row>
    <row r="52">
      <c r="A52" t="n">
        <v>7</v>
      </c>
      <c r="B52" t="inlineStr">
        <is>
          <t>Millalemu 7</t>
        </is>
      </c>
      <c r="C52" t="n">
        <v>7</v>
      </c>
      <c r="D52" t="inlineStr">
        <is>
          <t xml:space="preserve"> Mantencion equipo de volteo</t>
        </is>
      </c>
      <c r="E52" t="inlineStr">
        <is>
          <t>Operacional</t>
        </is>
      </c>
      <c r="F52" t="n">
        <v>120</v>
      </c>
      <c r="G52" t="inlineStr"/>
    </row>
    <row r="53">
      <c r="A53" t="n">
        <v>7</v>
      </c>
      <c r="B53" t="inlineStr">
        <is>
          <t>Millalemu 5</t>
        </is>
      </c>
      <c r="C53" t="n">
        <v>42</v>
      </c>
      <c r="D53" t="inlineStr">
        <is>
          <t>Descanso/Pausa programada</t>
        </is>
      </c>
      <c r="E53" t="inlineStr">
        <is>
          <t>Proceso</t>
        </is>
      </c>
      <c r="F53" t="n">
        <v>15</v>
      </c>
      <c r="G53" t="inlineStr"/>
    </row>
    <row r="54">
      <c r="A54" t="n">
        <v>7</v>
      </c>
      <c r="B54" t="inlineStr">
        <is>
          <t>Millalemu 5</t>
        </is>
      </c>
      <c r="C54" t="n">
        <v>42</v>
      </c>
      <c r="D54" t="inlineStr">
        <is>
          <t>Descanso/Pausa programada</t>
        </is>
      </c>
      <c r="E54" t="inlineStr">
        <is>
          <t>Proceso</t>
        </is>
      </c>
      <c r="F54" t="n">
        <v>15</v>
      </c>
      <c r="G54" t="inlineStr"/>
    </row>
    <row r="55">
      <c r="A55" t="n">
        <v>7</v>
      </c>
      <c r="B55" t="inlineStr">
        <is>
          <t>Millalemu 1.1</t>
        </is>
      </c>
      <c r="C55" t="n">
        <v>42</v>
      </c>
      <c r="D55" t="inlineStr">
        <is>
          <t>Descanso/Pausa programada</t>
        </is>
      </c>
      <c r="E55" t="inlineStr">
        <is>
          <t>Proceso</t>
        </is>
      </c>
      <c r="F55" t="n">
        <v>15</v>
      </c>
      <c r="G55" t="inlineStr">
        <is>
          <t>Pausa</t>
        </is>
      </c>
    </row>
    <row r="56">
      <c r="A56" t="n">
        <v>7</v>
      </c>
      <c r="B56" t="inlineStr">
        <is>
          <t>Millalemu 1.1</t>
        </is>
      </c>
      <c r="C56" t="n">
        <v>17</v>
      </c>
      <c r="D56" t="inlineStr">
        <is>
          <t>Falta de trozado</t>
        </is>
      </c>
      <c r="E56" t="inlineStr">
        <is>
          <t>Operacional</t>
        </is>
      </c>
      <c r="F56" t="n">
        <v>135</v>
      </c>
      <c r="G56" t="inlineStr">
        <is>
          <t>Espera de volteo,proceso lento por trabajo asistido.</t>
        </is>
      </c>
    </row>
    <row r="57">
      <c r="A57" t="n">
        <v>7</v>
      </c>
      <c r="B57" t="inlineStr">
        <is>
          <t>Millalemu 1.1</t>
        </is>
      </c>
      <c r="C57" t="n">
        <v>42</v>
      </c>
      <c r="D57" t="inlineStr">
        <is>
          <t>Descanso/Pausa programada</t>
        </is>
      </c>
      <c r="E57" t="inlineStr">
        <is>
          <t>Proceso</t>
        </is>
      </c>
      <c r="F57" t="n">
        <v>15</v>
      </c>
      <c r="G57" t="inlineStr">
        <is>
          <t>Pausa</t>
        </is>
      </c>
    </row>
    <row r="58">
      <c r="A58" t="n">
        <v>7</v>
      </c>
      <c r="B58" t="inlineStr">
        <is>
          <t>Millalemu 1.3</t>
        </is>
      </c>
      <c r="C58" t="n">
        <v>8</v>
      </c>
      <c r="D58" t="inlineStr">
        <is>
          <t>Mantencion equipo de madereo</t>
        </is>
      </c>
      <c r="E58" t="inlineStr">
        <is>
          <t>Operacional</t>
        </is>
      </c>
      <c r="F58" t="n">
        <v>420</v>
      </c>
      <c r="G58" t="inlineStr">
        <is>
          <t>Posrura de cadenas del neumaticos delanreros sg-18</t>
        </is>
      </c>
    </row>
    <row r="59">
      <c r="A59" t="n">
        <v>7</v>
      </c>
      <c r="B59" t="inlineStr">
        <is>
          <t>Millalemu 9</t>
        </is>
      </c>
      <c r="C59" t="n">
        <v>4</v>
      </c>
      <c r="D59" t="inlineStr">
        <is>
          <t>Reparacion/Falla equipo de Trozado</t>
        </is>
      </c>
      <c r="E59" t="inlineStr">
        <is>
          <t>Mantención</t>
        </is>
      </c>
      <c r="F59" t="n">
        <v>630</v>
      </c>
      <c r="G59" t="inlineStr">
        <is>
          <t>Por Robo de piesas de cabezal</t>
        </is>
      </c>
    </row>
    <row r="60">
      <c r="A60" t="n">
        <v>8</v>
      </c>
      <c r="B60" t="inlineStr">
        <is>
          <t>Millalemu 1.4</t>
        </is>
      </c>
      <c r="C60" t="n">
        <v>13</v>
      </c>
      <c r="D60" t="inlineStr">
        <is>
          <t>Traslados dentro del predio (cancha, sector)</t>
        </is>
      </c>
      <c r="E60" t="inlineStr">
        <is>
          <t>Operacional</t>
        </is>
      </c>
      <c r="F60" t="n">
        <v>180</v>
      </c>
      <c r="G60" t="inlineStr">
        <is>
          <t>2 horas perdidas por traslado dentro del predio 1 hora por cambio de cadenas dentro del turno</t>
        </is>
      </c>
    </row>
    <row r="61">
      <c r="A61" t="n">
        <v>8</v>
      </c>
      <c r="B61" t="inlineStr">
        <is>
          <t>Millalemu 1.2</t>
        </is>
      </c>
      <c r="C61" t="n">
        <v>1</v>
      </c>
      <c r="D61" t="inlineStr">
        <is>
          <t>Reparacion/Falla equipo de volteo</t>
        </is>
      </c>
      <c r="E61" t="inlineStr">
        <is>
          <t>Mantención</t>
        </is>
      </c>
      <c r="F61" t="n">
        <v>120</v>
      </c>
      <c r="G61" t="inlineStr">
        <is>
          <t>Falta de volteo por robo de combustible</t>
        </is>
      </c>
    </row>
    <row r="62">
      <c r="A62" t="n">
        <v>8</v>
      </c>
      <c r="B62" t="inlineStr">
        <is>
          <t>Millalemu 11</t>
        </is>
      </c>
      <c r="C62" t="n">
        <v>26</v>
      </c>
      <c r="D62" t="inlineStr">
        <is>
          <t>Desinstalacion de torre (vientos/ soportes)</t>
        </is>
      </c>
      <c r="E62" t="inlineStr">
        <is>
          <t>Operacional</t>
        </is>
      </c>
      <c r="F62" t="n">
        <v>120</v>
      </c>
      <c r="G62" t="inlineStr">
        <is>
          <t>Remate de linea y desintalacion de torre alpine</t>
        </is>
      </c>
    </row>
    <row r="63">
      <c r="A63" t="n">
        <v>8</v>
      </c>
      <c r="B63" t="inlineStr">
        <is>
          <t>Millalemu 1.3</t>
        </is>
      </c>
      <c r="C63" t="n">
        <v>68</v>
      </c>
      <c r="D63" t="inlineStr">
        <is>
          <t>Sobre Shoveleo</t>
        </is>
      </c>
      <c r="E63" t="inlineStr">
        <is>
          <t>Operacional</t>
        </is>
      </c>
      <c r="F63" t="n">
        <v>180</v>
      </c>
      <c r="G63" t="inlineStr"/>
    </row>
    <row r="64">
      <c r="A64" t="n">
        <v>8</v>
      </c>
      <c r="B64" t="inlineStr">
        <is>
          <t>Millalemu 1.1</t>
        </is>
      </c>
      <c r="C64" t="n">
        <v>42</v>
      </c>
      <c r="D64" t="inlineStr">
        <is>
          <t>Descanso/Pausa programada</t>
        </is>
      </c>
      <c r="E64" t="inlineStr">
        <is>
          <t>Proceso</t>
        </is>
      </c>
      <c r="F64" t="n">
        <v>15</v>
      </c>
      <c r="G64" t="inlineStr">
        <is>
          <t>Pausa</t>
        </is>
      </c>
    </row>
    <row r="65">
      <c r="A65" t="n">
        <v>8</v>
      </c>
      <c r="B65" t="inlineStr">
        <is>
          <t>Millalemu 1.1</t>
        </is>
      </c>
      <c r="C65" t="n">
        <v>12</v>
      </c>
      <c r="D65" t="inlineStr">
        <is>
          <t xml:space="preserve"> Mantencion otros equipos</t>
        </is>
      </c>
      <c r="E65" t="inlineStr">
        <is>
          <t>Operacional</t>
        </is>
      </c>
      <c r="F65" t="n">
        <v>135</v>
      </c>
      <c r="G65" t="inlineStr">
        <is>
          <t>Mantencion de sus filtros  y aceites equipo de volteo</t>
        </is>
      </c>
    </row>
    <row r="66">
      <c r="A66" t="n">
        <v>8</v>
      </c>
      <c r="B66" t="inlineStr">
        <is>
          <t>Millalemu 1.1</t>
        </is>
      </c>
      <c r="C66" t="n">
        <v>42</v>
      </c>
      <c r="D66" t="inlineStr">
        <is>
          <t>Descanso/Pausa programada</t>
        </is>
      </c>
      <c r="E66" t="inlineStr">
        <is>
          <t>Proceso</t>
        </is>
      </c>
      <c r="F66" t="n">
        <v>15</v>
      </c>
      <c r="G66" t="inlineStr">
        <is>
          <t>Pausa</t>
        </is>
      </c>
    </row>
    <row r="67">
      <c r="A67" t="n">
        <v>8</v>
      </c>
      <c r="B67" t="inlineStr">
        <is>
          <t>Millalemu 5</t>
        </is>
      </c>
      <c r="C67" t="n">
        <v>42</v>
      </c>
      <c r="D67" t="inlineStr">
        <is>
          <t>Descanso/Pausa programada</t>
        </is>
      </c>
      <c r="E67" t="inlineStr">
        <is>
          <t>Proceso</t>
        </is>
      </c>
      <c r="F67" t="n">
        <v>30</v>
      </c>
      <c r="G67" t="inlineStr"/>
    </row>
    <row r="68">
      <c r="A68" t="n">
        <v>8</v>
      </c>
      <c r="B68" t="inlineStr">
        <is>
          <t>Millalemu 7</t>
        </is>
      </c>
      <c r="C68" t="n">
        <v>20</v>
      </c>
      <c r="D68" t="inlineStr">
        <is>
          <t>Falta/abstecimiento de combustible equipo de volte</t>
        </is>
      </c>
      <c r="E68" t="inlineStr">
        <is>
          <t>Operacional</t>
        </is>
      </c>
      <c r="F68" t="n">
        <v>120</v>
      </c>
      <c r="G68" t="inlineStr">
        <is>
          <t>trasladar equipos a petrolear .. camino en mal estado</t>
        </is>
      </c>
    </row>
    <row r="69">
      <c r="A69" t="n">
        <v>8</v>
      </c>
      <c r="B69" t="inlineStr">
        <is>
          <t>Millalemu 9</t>
        </is>
      </c>
      <c r="C69" t="n">
        <v>4</v>
      </c>
      <c r="D69" t="inlineStr">
        <is>
          <t>Reparacion/Falla equipo de Trozado</t>
        </is>
      </c>
      <c r="E69" t="inlineStr">
        <is>
          <t>Mantención</t>
        </is>
      </c>
      <c r="F69" t="n">
        <v>630</v>
      </c>
      <c r="G69" t="inlineStr">
        <is>
          <t>Reparacion y reposicion de piezas robadas</t>
        </is>
      </c>
    </row>
    <row r="70">
      <c r="A70" t="n">
        <v>9</v>
      </c>
      <c r="B70" t="inlineStr">
        <is>
          <t>Millalemu 1.2</t>
        </is>
      </c>
      <c r="C70" t="n">
        <v>5</v>
      </c>
      <c r="D70" t="inlineStr">
        <is>
          <t>Reparacion/Falla de equipo de clasificado/carguio</t>
        </is>
      </c>
      <c r="E70" t="inlineStr">
        <is>
          <t>Mantención</t>
        </is>
      </c>
      <c r="F70" t="n">
        <v>120</v>
      </c>
      <c r="G70" t="inlineStr">
        <is>
          <t>Falla equipo de clasificado</t>
        </is>
      </c>
    </row>
    <row r="71">
      <c r="A71" t="n">
        <v>9</v>
      </c>
      <c r="B71" t="inlineStr">
        <is>
          <t>Millalemu 1.4</t>
        </is>
      </c>
      <c r="C71" t="n">
        <v>22</v>
      </c>
      <c r="D71" t="inlineStr">
        <is>
          <t>Falta/abstecimiento de combustible equipo de proce</t>
        </is>
      </c>
      <c r="E71" t="inlineStr">
        <is>
          <t>Operacional</t>
        </is>
      </c>
      <c r="F71" t="n">
        <v>300</v>
      </c>
      <c r="G71" t="inlineStr">
        <is>
          <t>5 horas perdidas falta de combustible</t>
        </is>
      </c>
    </row>
    <row r="72">
      <c r="A72" t="n">
        <v>9</v>
      </c>
      <c r="B72" t="inlineStr">
        <is>
          <t>Millalemu 5</t>
        </is>
      </c>
      <c r="C72" t="n">
        <v>42</v>
      </c>
      <c r="D72" t="inlineStr">
        <is>
          <t>Descanso/Pausa programada</t>
        </is>
      </c>
      <c r="E72" t="inlineStr">
        <is>
          <t>Proceso</t>
        </is>
      </c>
      <c r="F72" t="n">
        <v>15</v>
      </c>
      <c r="G72" t="inlineStr"/>
    </row>
    <row r="73">
      <c r="A73" t="n">
        <v>9</v>
      </c>
      <c r="B73" t="inlineStr">
        <is>
          <t>Millalemu 5</t>
        </is>
      </c>
      <c r="C73" t="n">
        <v>42</v>
      </c>
      <c r="D73" t="inlineStr">
        <is>
          <t>Descanso/Pausa programada</t>
        </is>
      </c>
      <c r="E73" t="inlineStr">
        <is>
          <t>Proceso</t>
        </is>
      </c>
      <c r="F73" t="n">
        <v>15</v>
      </c>
      <c r="G73" t="inlineStr"/>
    </row>
    <row r="74">
      <c r="A74" t="n">
        <v>9</v>
      </c>
      <c r="B74" t="inlineStr">
        <is>
          <t>Millalemu 1.1</t>
        </is>
      </c>
      <c r="C74" t="n">
        <v>42</v>
      </c>
      <c r="D74" t="inlineStr">
        <is>
          <t>Descanso/Pausa programada</t>
        </is>
      </c>
      <c r="E74" t="inlineStr">
        <is>
          <t>Proceso</t>
        </is>
      </c>
      <c r="F74" t="n">
        <v>30</v>
      </c>
      <c r="G74" t="inlineStr">
        <is>
          <t>Pausa/activa</t>
        </is>
      </c>
    </row>
    <row r="75">
      <c r="A75" t="n">
        <v>9</v>
      </c>
      <c r="B75" t="inlineStr">
        <is>
          <t>Millalemu 1.1</t>
        </is>
      </c>
      <c r="C75" t="n">
        <v>17</v>
      </c>
      <c r="D75" t="inlineStr">
        <is>
          <t>Falta de trozado</t>
        </is>
      </c>
      <c r="E75" t="inlineStr">
        <is>
          <t>Operacional</t>
        </is>
      </c>
      <c r="F75" t="n">
        <v>510</v>
      </c>
      <c r="G75" t="inlineStr">
        <is>
          <t>Por termino de predio (escenario el cabrito cbb) y a espera de traslado?????</t>
        </is>
      </c>
    </row>
    <row r="76">
      <c r="A76" t="n">
        <v>9</v>
      </c>
      <c r="B76" t="inlineStr">
        <is>
          <t>Millalemu 7</t>
        </is>
      </c>
      <c r="C76" t="n">
        <v>13</v>
      </c>
      <c r="D76" t="inlineStr">
        <is>
          <t>Traslados dentro del predio (cancha, sector)</t>
        </is>
      </c>
      <c r="E76" t="inlineStr">
        <is>
          <t>Operacional</t>
        </is>
      </c>
      <c r="F76" t="n">
        <v>120</v>
      </c>
      <c r="G76" t="inlineStr">
        <is>
          <t>salir a petrolear a camino firme</t>
        </is>
      </c>
    </row>
    <row r="77">
      <c r="A77" t="n">
        <v>9</v>
      </c>
      <c r="B77" t="inlineStr">
        <is>
          <t>Millalemu 1.3</t>
        </is>
      </c>
      <c r="C77" t="n">
        <v>68</v>
      </c>
      <c r="D77" t="inlineStr">
        <is>
          <t>Sobre Shoveleo</t>
        </is>
      </c>
      <c r="E77" t="inlineStr">
        <is>
          <t>Operacional</t>
        </is>
      </c>
      <c r="F77" t="n">
        <v>300</v>
      </c>
      <c r="G77" t="inlineStr">
        <is>
          <t>Distancia de madereo 650mts aprox</t>
        </is>
      </c>
    </row>
    <row r="78">
      <c r="A78" t="n">
        <v>9</v>
      </c>
      <c r="B78" t="inlineStr">
        <is>
          <t>Millalemu 9</t>
        </is>
      </c>
      <c r="C78" t="n">
        <v>4</v>
      </c>
      <c r="D78" t="inlineStr">
        <is>
          <t>Reparacion/Falla equipo de Trozado</t>
        </is>
      </c>
      <c r="E78" t="inlineStr">
        <is>
          <t>Mantención</t>
        </is>
      </c>
      <c r="F78" t="n">
        <v>300</v>
      </c>
      <c r="G78" t="inlineStr">
        <is>
          <t>Reparacion y prueba de equipo despues del robo</t>
        </is>
      </c>
    </row>
    <row r="79">
      <c r="A79" t="n">
        <v>10</v>
      </c>
      <c r="B79" t="inlineStr">
        <is>
          <t>Millalemu 11</t>
        </is>
      </c>
      <c r="C79" t="n">
        <v>18</v>
      </c>
      <c r="D79" t="inlineStr">
        <is>
          <t>Falta de volteo o desrame</t>
        </is>
      </c>
      <c r="E79" t="inlineStr">
        <is>
          <t>Operacional</t>
        </is>
      </c>
      <c r="F79" t="n">
        <v>240</v>
      </c>
      <c r="G79" t="inlineStr">
        <is>
          <t>R6 a espera de volteo a linea para torre alpine</t>
        </is>
      </c>
    </row>
    <row r="80">
      <c r="A80" t="n">
        <v>10</v>
      </c>
      <c r="B80" t="inlineStr">
        <is>
          <t>Millalemu 1.4</t>
        </is>
      </c>
      <c r="C80" t="n">
        <v>22</v>
      </c>
      <c r="D80" t="inlineStr">
        <is>
          <t>Falta/abstecimiento de combustible equipo de proce</t>
        </is>
      </c>
      <c r="E80" t="inlineStr">
        <is>
          <t>Operacional</t>
        </is>
      </c>
      <c r="F80" t="n">
        <v>180</v>
      </c>
      <c r="G80" t="inlineStr">
        <is>
          <t>3 horas perdidas sin combustible</t>
        </is>
      </c>
    </row>
    <row r="81">
      <c r="A81" t="n">
        <v>10</v>
      </c>
      <c r="B81" t="inlineStr">
        <is>
          <t>Millalemu 1.3</t>
        </is>
      </c>
      <c r="C81" t="n">
        <v>68</v>
      </c>
      <c r="D81" t="inlineStr">
        <is>
          <t>Sobre Shoveleo</t>
        </is>
      </c>
      <c r="E81" t="inlineStr">
        <is>
          <t>Operacional</t>
        </is>
      </c>
      <c r="F81" t="n">
        <v>180</v>
      </c>
      <c r="G81" t="inlineStr"/>
    </row>
    <row r="82">
      <c r="A82" t="n">
        <v>10</v>
      </c>
      <c r="B82" t="inlineStr">
        <is>
          <t>Millalemu 1.1</t>
        </is>
      </c>
      <c r="C82" t="n">
        <v>42</v>
      </c>
      <c r="D82" t="inlineStr">
        <is>
          <t>Descanso/Pausa programada</t>
        </is>
      </c>
      <c r="E82" t="inlineStr">
        <is>
          <t>Proceso</t>
        </is>
      </c>
      <c r="F82" t="n">
        <v>30</v>
      </c>
      <c r="G82" t="inlineStr">
        <is>
          <t>Pausa</t>
        </is>
      </c>
    </row>
    <row r="83">
      <c r="A83" t="n">
        <v>10</v>
      </c>
      <c r="B83" t="inlineStr">
        <is>
          <t>Millalemu 1.1</t>
        </is>
      </c>
      <c r="C83" t="n">
        <v>38</v>
      </c>
      <c r="D83" t="inlineStr">
        <is>
          <t>Falta autorizaciones FASA</t>
        </is>
      </c>
      <c r="E83" t="inlineStr">
        <is>
          <t>Operacional</t>
        </is>
      </c>
      <c r="F83" t="n">
        <v>630</v>
      </c>
      <c r="G83" t="inlineStr">
        <is>
          <t>Termino de predio ,y espera de documentacion de fasa , para traslado</t>
        </is>
      </c>
    </row>
    <row r="84">
      <c r="A84" t="n">
        <v>10</v>
      </c>
      <c r="B84" t="inlineStr">
        <is>
          <t>Millalemu 1.2</t>
        </is>
      </c>
      <c r="C84" t="n">
        <v>4</v>
      </c>
      <c r="D84" t="inlineStr">
        <is>
          <t>Reparacion/Falla equipo de Trozado</t>
        </is>
      </c>
      <c r="E84" t="inlineStr">
        <is>
          <t>Mantención</t>
        </is>
      </c>
      <c r="F84" t="n">
        <v>60</v>
      </c>
      <c r="G84" t="inlineStr">
        <is>
          <t>Reparacion de filo de cuchillo procesador</t>
        </is>
      </c>
    </row>
    <row r="85">
      <c r="A85" t="n">
        <v>10</v>
      </c>
      <c r="B85" t="inlineStr">
        <is>
          <t>Millalemu 5</t>
        </is>
      </c>
      <c r="C85" t="n">
        <v>42</v>
      </c>
      <c r="D85" t="inlineStr">
        <is>
          <t>Descanso/Pausa programada</t>
        </is>
      </c>
      <c r="E85" t="inlineStr">
        <is>
          <t>Proceso</t>
        </is>
      </c>
      <c r="F85" t="n">
        <v>30</v>
      </c>
      <c r="G85" t="inlineStr"/>
    </row>
    <row r="86">
      <c r="A86" t="n">
        <v>10</v>
      </c>
      <c r="B86" t="inlineStr">
        <is>
          <t>Millalemu 9</t>
        </is>
      </c>
      <c r="C86" t="n">
        <v>4</v>
      </c>
      <c r="D86" t="inlineStr">
        <is>
          <t>Reparacion/Falla equipo de Trozado</t>
        </is>
      </c>
      <c r="E86" t="inlineStr">
        <is>
          <t>Mantención</t>
        </is>
      </c>
      <c r="F86" t="n">
        <v>300</v>
      </c>
      <c r="G86" t="inlineStr"/>
    </row>
    <row r="87">
      <c r="A87" t="n">
        <v>11</v>
      </c>
      <c r="B87" t="inlineStr">
        <is>
          <t>Millalemu 1.4</t>
        </is>
      </c>
      <c r="C87" t="n">
        <v>14</v>
      </c>
      <c r="D87" t="inlineStr">
        <is>
          <t>Traslados otro predio</t>
        </is>
      </c>
      <c r="E87" t="inlineStr">
        <is>
          <t>Operacional</t>
        </is>
      </c>
      <c r="F87" t="n">
        <v>660</v>
      </c>
      <c r="G87" t="inlineStr">
        <is>
          <t>Sin actividad por traslado a otro predio</t>
        </is>
      </c>
    </row>
    <row r="88">
      <c r="A88" t="n">
        <v>11</v>
      </c>
      <c r="B88" t="inlineStr">
        <is>
          <t>Millalemu 7</t>
        </is>
      </c>
      <c r="C88" t="n">
        <v>14</v>
      </c>
      <c r="D88" t="inlineStr">
        <is>
          <t>Traslados otro predio</t>
        </is>
      </c>
      <c r="E88" t="inlineStr">
        <is>
          <t>Operacional</t>
        </is>
      </c>
      <c r="F88" t="n">
        <v>420</v>
      </c>
      <c r="G88" t="inlineStr"/>
    </row>
    <row r="89">
      <c r="A89" t="n">
        <v>11</v>
      </c>
      <c r="B89" t="inlineStr">
        <is>
          <t>Millalemu 1.1</t>
        </is>
      </c>
      <c r="C89" t="n">
        <v>42</v>
      </c>
      <c r="D89" t="inlineStr">
        <is>
          <t>Descanso/Pausa programada</t>
        </is>
      </c>
      <c r="E89" t="inlineStr">
        <is>
          <t>Proceso</t>
        </is>
      </c>
      <c r="F89" t="n">
        <v>30</v>
      </c>
      <c r="G89" t="inlineStr">
        <is>
          <t>Pausa/activa</t>
        </is>
      </c>
    </row>
    <row r="90">
      <c r="A90" t="n">
        <v>11</v>
      </c>
      <c r="B90" t="inlineStr">
        <is>
          <t>Millalemu 1.1</t>
        </is>
      </c>
      <c r="C90" t="n">
        <v>38</v>
      </c>
      <c r="D90" t="inlineStr">
        <is>
          <t>Falta autorizaciones FASA</t>
        </is>
      </c>
      <c r="E90" t="inlineStr">
        <is>
          <t>Operacional</t>
        </is>
      </c>
      <c r="F90" t="n">
        <v>630</v>
      </c>
      <c r="G90" t="inlineStr">
        <is>
          <t>Falta de documentacion para proximo predio de parte de FASA.</t>
        </is>
      </c>
    </row>
    <row r="91">
      <c r="A91" t="n">
        <v>11</v>
      </c>
      <c r="B91" t="inlineStr">
        <is>
          <t>Millalemu 11</t>
        </is>
      </c>
      <c r="C91" t="n">
        <v>65</v>
      </c>
      <c r="D91" t="inlineStr">
        <is>
          <t>Volteo a Linea</t>
        </is>
      </c>
      <c r="E91" t="inlineStr">
        <is>
          <t>Operacional</t>
        </is>
      </c>
      <c r="F91" t="n">
        <v>480</v>
      </c>
      <c r="G91" t="inlineStr">
        <is>
          <t>R6 por volteo ala torre alpine</t>
        </is>
      </c>
    </row>
    <row r="92">
      <c r="A92" t="n">
        <v>11</v>
      </c>
      <c r="B92" t="inlineStr">
        <is>
          <t>Millalemu 1.2</t>
        </is>
      </c>
      <c r="C92" t="n">
        <v>10</v>
      </c>
      <c r="D92" t="inlineStr">
        <is>
          <t>Mantencion equipo de trozado</t>
        </is>
      </c>
      <c r="E92" t="inlineStr">
        <is>
          <t>Operacional</t>
        </is>
      </c>
      <c r="F92" t="n">
        <v>180</v>
      </c>
      <c r="G92" t="inlineStr">
        <is>
          <t>Reparacion de cuchilllo y cambio  de esc   Volte horilla de carretera</t>
        </is>
      </c>
    </row>
    <row r="93">
      <c r="A93" t="n">
        <v>11</v>
      </c>
      <c r="B93" t="inlineStr">
        <is>
          <t>Millalemu 1.3</t>
        </is>
      </c>
      <c r="C93" t="n">
        <v>22</v>
      </c>
      <c r="D93" t="inlineStr">
        <is>
          <t>Falta/abstecimiento de combustible equipo de proce</t>
        </is>
      </c>
      <c r="E93" t="inlineStr">
        <is>
          <t>Operacional</t>
        </is>
      </c>
      <c r="F93" t="n">
        <v>180</v>
      </c>
      <c r="G93" t="inlineStr"/>
    </row>
    <row r="94">
      <c r="A94" t="n">
        <v>11</v>
      </c>
      <c r="B94" t="inlineStr">
        <is>
          <t>Millalemu 9</t>
        </is>
      </c>
      <c r="C94" t="n">
        <v>4</v>
      </c>
      <c r="D94" t="inlineStr">
        <is>
          <t>Reparacion/Falla equipo de Trozado</t>
        </is>
      </c>
      <c r="E94" t="inlineStr">
        <is>
          <t>Mantención</t>
        </is>
      </c>
      <c r="F94" t="n">
        <v>120</v>
      </c>
      <c r="G94" t="inlineStr"/>
    </row>
    <row r="95">
      <c r="A95" t="n">
        <v>12</v>
      </c>
      <c r="B95" t="inlineStr">
        <is>
          <t>Millalemu 1.3</t>
        </is>
      </c>
      <c r="C95" t="n">
        <v>21</v>
      </c>
      <c r="D95" t="inlineStr">
        <is>
          <t>Falta/abstecimiento de combustible equipo de mader</t>
        </is>
      </c>
      <c r="E95" t="inlineStr">
        <is>
          <t>Operacional</t>
        </is>
      </c>
      <c r="F95" t="n">
        <v>240</v>
      </c>
      <c r="G95" t="inlineStr"/>
    </row>
    <row r="96">
      <c r="A96" t="n">
        <v>12</v>
      </c>
      <c r="B96" t="inlineStr">
        <is>
          <t>Millalemu 1.1</t>
        </is>
      </c>
      <c r="C96" t="n">
        <v>42</v>
      </c>
      <c r="D96" t="inlineStr">
        <is>
          <t>Descanso/Pausa programada</t>
        </is>
      </c>
      <c r="E96" t="inlineStr">
        <is>
          <t>Proceso</t>
        </is>
      </c>
      <c r="F96" t="n">
        <v>30</v>
      </c>
      <c r="G96" t="inlineStr">
        <is>
          <t>Pausa/activa</t>
        </is>
      </c>
    </row>
    <row r="97">
      <c r="A97" t="n">
        <v>12</v>
      </c>
      <c r="B97" t="inlineStr">
        <is>
          <t>Millalemu 1.1</t>
        </is>
      </c>
      <c r="C97" t="n">
        <v>38</v>
      </c>
      <c r="D97" t="inlineStr">
        <is>
          <t>Falta autorizaciones FASA</t>
        </is>
      </c>
      <c r="E97" t="inlineStr">
        <is>
          <t>Operacional</t>
        </is>
      </c>
      <c r="F97" t="n">
        <v>630</v>
      </c>
      <c r="G97" t="inlineStr">
        <is>
          <t>traslado de el cabrito  a predio quirquincho  Aun no esta ingresado el predio quirquincho a geonoc</t>
        </is>
      </c>
    </row>
    <row r="98">
      <c r="A98" t="n">
        <v>12</v>
      </c>
      <c r="B98" t="inlineStr">
        <is>
          <t>Millalemu 7</t>
        </is>
      </c>
      <c r="C98" t="n">
        <v>14</v>
      </c>
      <c r="D98" t="inlineStr">
        <is>
          <t>Traslados otro predio</t>
        </is>
      </c>
      <c r="E98" t="inlineStr">
        <is>
          <t>Operacional</t>
        </is>
      </c>
      <c r="F98" t="n">
        <v>540</v>
      </c>
      <c r="G98" t="inlineStr">
        <is>
          <t>equipos de trozado en traslado de predio</t>
        </is>
      </c>
    </row>
    <row r="99">
      <c r="A99" t="n">
        <v>12</v>
      </c>
      <c r="B99" t="inlineStr">
        <is>
          <t>Millalemu 1.2</t>
        </is>
      </c>
      <c r="C99" t="n">
        <v>4</v>
      </c>
      <c r="D99" t="inlineStr">
        <is>
          <t>Reparacion/Falla equipo de Trozado</t>
        </is>
      </c>
      <c r="E99" t="inlineStr">
        <is>
          <t>Mantención</t>
        </is>
      </c>
      <c r="F99" t="n">
        <v>120</v>
      </c>
      <c r="G99" t="inlineStr">
        <is>
          <t>Reparacion de equipo de clasificado  Y niebla en carretera para segregacion  Para volteo</t>
        </is>
      </c>
    </row>
    <row r="100">
      <c r="A100" t="n">
        <v>12</v>
      </c>
      <c r="B100" t="inlineStr">
        <is>
          <t>Millalemu 1.4</t>
        </is>
      </c>
      <c r="C100" t="n">
        <v>14</v>
      </c>
      <c r="D100" t="inlineStr">
        <is>
          <t>Traslados otro predio</t>
        </is>
      </c>
      <c r="E100" t="inlineStr">
        <is>
          <t>Operacional</t>
        </is>
      </c>
      <c r="F100" t="n">
        <v>420</v>
      </c>
      <c r="G100" t="inlineStr">
        <is>
          <t>5 horas peedidas por traslado de predio 2 horas perdidas por falla en equipo de trozado</t>
        </is>
      </c>
    </row>
    <row r="101">
      <c r="A101" t="n">
        <v>12</v>
      </c>
      <c r="B101" t="inlineStr">
        <is>
          <t>Millalemu 9</t>
        </is>
      </c>
      <c r="C101" t="n">
        <v>4</v>
      </c>
      <c r="D101" t="inlineStr">
        <is>
          <t>Reparacion/Falla equipo de Trozado</t>
        </is>
      </c>
      <c r="E101" t="inlineStr">
        <is>
          <t>Mantención</t>
        </is>
      </c>
      <c r="F101" t="n">
        <v>390</v>
      </c>
      <c r="G101" t="inlineStr"/>
    </row>
    <row r="102">
      <c r="A102" t="n">
        <v>13</v>
      </c>
      <c r="B102" t="inlineStr">
        <is>
          <t>Millalemu 1.3</t>
        </is>
      </c>
      <c r="C102" t="n">
        <v>1</v>
      </c>
      <c r="D102" t="inlineStr">
        <is>
          <t>Reparacion/Falla equipo de volteo</t>
        </is>
      </c>
      <c r="E102" t="inlineStr">
        <is>
          <t>Mantención</t>
        </is>
      </c>
      <c r="F102" t="n">
        <v>480</v>
      </c>
      <c r="G102" t="inlineStr">
        <is>
          <t>Madereo 500 mtrs aprox</t>
        </is>
      </c>
    </row>
    <row r="103">
      <c r="A103" t="n">
        <v>13</v>
      </c>
      <c r="B103" t="inlineStr">
        <is>
          <t>Millalemu 5</t>
        </is>
      </c>
      <c r="C103" t="n">
        <v>42</v>
      </c>
      <c r="D103" t="inlineStr">
        <is>
          <t>Descanso/Pausa programada</t>
        </is>
      </c>
      <c r="E103" t="inlineStr">
        <is>
          <t>Proceso</t>
        </is>
      </c>
      <c r="F103" t="n">
        <v>30</v>
      </c>
      <c r="G103" t="inlineStr"/>
    </row>
    <row r="104">
      <c r="A104" t="n">
        <v>13</v>
      </c>
      <c r="B104" t="inlineStr">
        <is>
          <t>Millalemu 1.1</t>
        </is>
      </c>
      <c r="C104" t="n">
        <v>42</v>
      </c>
      <c r="D104" t="inlineStr">
        <is>
          <t>Descanso/Pausa programada</t>
        </is>
      </c>
      <c r="E104" t="inlineStr">
        <is>
          <t>Proceso</t>
        </is>
      </c>
      <c r="F104" t="n">
        <v>30</v>
      </c>
      <c r="G104" t="inlineStr">
        <is>
          <t>Pausa/activa</t>
        </is>
      </c>
    </row>
    <row r="105">
      <c r="A105" t="n">
        <v>13</v>
      </c>
      <c r="B105" t="inlineStr">
        <is>
          <t>Millalemu 1.1</t>
        </is>
      </c>
      <c r="C105" t="n">
        <v>14</v>
      </c>
      <c r="D105" t="inlineStr">
        <is>
          <t>Traslados otro predio</t>
        </is>
      </c>
      <c r="E105" t="inlineStr">
        <is>
          <t>Operacional</t>
        </is>
      </c>
      <c r="F105" t="n">
        <v>570</v>
      </c>
      <c r="G105" t="inlineStr">
        <is>
          <t>Por traslado de equipo de trozado   Solo volteo la mayoria de la  jornada.</t>
        </is>
      </c>
    </row>
    <row r="106">
      <c r="A106" t="n">
        <v>13</v>
      </c>
      <c r="B106" t="inlineStr">
        <is>
          <t>Millalemu 1.2</t>
        </is>
      </c>
      <c r="C106" t="n">
        <v>20</v>
      </c>
      <c r="D106" t="inlineStr">
        <is>
          <t>Falta/abstecimiento de combustible equipo de volte</t>
        </is>
      </c>
      <c r="E106" t="inlineStr">
        <is>
          <t>Operacional</t>
        </is>
      </c>
      <c r="F106" t="n">
        <v>180</v>
      </c>
      <c r="G106" t="inlineStr">
        <is>
          <t>Falta de combustible por robo de combustible</t>
        </is>
      </c>
    </row>
    <row r="107">
      <c r="A107" t="n">
        <v>13</v>
      </c>
      <c r="B107" t="inlineStr">
        <is>
          <t>Millalemu 11</t>
        </is>
      </c>
      <c r="C107" t="n">
        <v>25</v>
      </c>
      <c r="D107" t="inlineStr">
        <is>
          <t>Instalacion de torre (vientos/ soportes)</t>
        </is>
      </c>
      <c r="E107" t="inlineStr">
        <is>
          <t>Operacional</t>
        </is>
      </c>
      <c r="F107" t="n">
        <v>150</v>
      </c>
      <c r="G107" t="inlineStr">
        <is>
          <t>Intalacion de torre alpine</t>
        </is>
      </c>
    </row>
    <row r="108">
      <c r="A108" t="n">
        <v>13</v>
      </c>
      <c r="B108" t="inlineStr">
        <is>
          <t>Millalemu 1.4</t>
        </is>
      </c>
      <c r="C108" t="n">
        <v>4</v>
      </c>
      <c r="D108" t="inlineStr">
        <is>
          <t>Reparacion/Falla equipo de Trozado</t>
        </is>
      </c>
      <c r="E108" t="inlineStr">
        <is>
          <t>Mantención</t>
        </is>
      </c>
      <c r="F108" t="n">
        <v>180</v>
      </c>
      <c r="G108" t="inlineStr">
        <is>
          <t>3 horas perdidas por falla en pasador de cabezal</t>
        </is>
      </c>
    </row>
    <row r="109">
      <c r="A109" t="n">
        <v>13</v>
      </c>
      <c r="B109" t="inlineStr">
        <is>
          <t>Millalemu 9</t>
        </is>
      </c>
      <c r="C109" t="n">
        <v>20</v>
      </c>
      <c r="D109" t="inlineStr">
        <is>
          <t>Falta/abstecimiento de combustible equipo de volte</t>
        </is>
      </c>
      <c r="E109" t="inlineStr">
        <is>
          <t>Operacional</t>
        </is>
      </c>
      <c r="F109" t="n">
        <v>30</v>
      </c>
      <c r="G109" t="inlineStr"/>
    </row>
    <row r="110">
      <c r="A110" t="n">
        <v>13</v>
      </c>
      <c r="B110" t="inlineStr">
        <is>
          <t>Millalemu 9</t>
        </is>
      </c>
      <c r="C110" t="n">
        <v>4</v>
      </c>
      <c r="D110" t="inlineStr">
        <is>
          <t>Reparacion/Falla equipo de Trozado</t>
        </is>
      </c>
      <c r="E110" t="inlineStr">
        <is>
          <t>Mantención</t>
        </is>
      </c>
      <c r="F110" t="n">
        <v>30</v>
      </c>
      <c r="G110" t="inlineStr"/>
    </row>
    <row r="111">
      <c r="A111" t="n">
        <v>14</v>
      </c>
      <c r="B111" t="inlineStr">
        <is>
          <t>Millalemu 11</t>
        </is>
      </c>
      <c r="C111" t="n">
        <v>26</v>
      </c>
      <c r="D111" t="inlineStr">
        <is>
          <t>Desinstalacion de torre (vientos/ soportes)</t>
        </is>
      </c>
      <c r="E111" t="inlineStr">
        <is>
          <t>Operacional</t>
        </is>
      </c>
      <c r="F111" t="n">
        <v>240</v>
      </c>
      <c r="G111" t="inlineStr">
        <is>
          <t>Remate de linea y desintalacion</t>
        </is>
      </c>
    </row>
    <row r="112">
      <c r="A112" t="n">
        <v>14</v>
      </c>
      <c r="B112" t="inlineStr">
        <is>
          <t>Millalemu 5</t>
        </is>
      </c>
      <c r="C112" t="n">
        <v>4</v>
      </c>
      <c r="D112" t="inlineStr">
        <is>
          <t>Reparacion/Falla equipo de Trozado</t>
        </is>
      </c>
      <c r="E112" t="inlineStr">
        <is>
          <t>Mantención</t>
        </is>
      </c>
      <c r="F112" t="n">
        <v>180</v>
      </c>
      <c r="G112" t="inlineStr">
        <is>
          <t>Falla de pasador de cilindro de brazos de cuchillos</t>
        </is>
      </c>
    </row>
    <row r="113">
      <c r="A113" t="n">
        <v>14</v>
      </c>
      <c r="B113" t="inlineStr">
        <is>
          <t>Millalemu 1.1</t>
        </is>
      </c>
      <c r="C113" t="n">
        <v>2</v>
      </c>
      <c r="D113" t="inlineStr">
        <is>
          <t>Reparacion/Falla de equipo de madereo</t>
        </is>
      </c>
      <c r="E113" t="inlineStr">
        <is>
          <t>Mantención</t>
        </is>
      </c>
      <c r="F113" t="n">
        <v>60</v>
      </c>
      <c r="G113" t="inlineStr">
        <is>
          <t>Reparacion falla equipo de madereo</t>
        </is>
      </c>
    </row>
    <row r="114">
      <c r="A114" t="n">
        <v>14</v>
      </c>
      <c r="B114" t="inlineStr">
        <is>
          <t>Millalemu 1.4</t>
        </is>
      </c>
      <c r="C114" t="n">
        <v>22</v>
      </c>
      <c r="D114" t="inlineStr">
        <is>
          <t>Falta/abstecimiento de combustible equipo de proce</t>
        </is>
      </c>
      <c r="E114" t="inlineStr">
        <is>
          <t>Operacional</t>
        </is>
      </c>
      <c r="F114" t="n">
        <v>120</v>
      </c>
      <c r="G114" t="inlineStr">
        <is>
          <t>1 hora perdida por falta de combustible 1 hora perdida por cambios de cadena dentro del dia</t>
        </is>
      </c>
    </row>
    <row r="115">
      <c r="A115" t="n">
        <v>14</v>
      </c>
      <c r="B115" t="inlineStr">
        <is>
          <t>Millalemu 7</t>
        </is>
      </c>
      <c r="C115" t="n">
        <v>42</v>
      </c>
      <c r="D115" t="inlineStr">
        <is>
          <t>Descanso/Pausa programada</t>
        </is>
      </c>
      <c r="E115" t="inlineStr">
        <is>
          <t>Proceso</t>
        </is>
      </c>
      <c r="F115" t="n">
        <v>30</v>
      </c>
      <c r="G115" t="inlineStr">
        <is>
          <t>Pausa activa</t>
        </is>
      </c>
    </row>
    <row r="116">
      <c r="A116" t="n">
        <v>14</v>
      </c>
      <c r="B116" t="inlineStr">
        <is>
          <t>Millalemu 1.3</t>
        </is>
      </c>
      <c r="C116" t="n">
        <v>1</v>
      </c>
      <c r="D116" t="inlineStr">
        <is>
          <t>Reparacion/Falla equipo de volteo</t>
        </is>
      </c>
      <c r="E116" t="inlineStr">
        <is>
          <t>Mantención</t>
        </is>
      </c>
      <c r="F116" t="n">
        <v>300</v>
      </c>
      <c r="G116" t="inlineStr">
        <is>
          <t>Madereo desde 500 mtrs</t>
        </is>
      </c>
    </row>
    <row r="117">
      <c r="A117" t="n">
        <v>14</v>
      </c>
      <c r="B117" t="inlineStr">
        <is>
          <t>Millalemu 1.2</t>
        </is>
      </c>
      <c r="C117" t="n">
        <v>15</v>
      </c>
      <c r="D117" t="inlineStr">
        <is>
          <t>Falta o atraso de personal</t>
        </is>
      </c>
      <c r="E117" t="inlineStr">
        <is>
          <t>Operacional</t>
        </is>
      </c>
      <c r="F117" t="n">
        <v>180</v>
      </c>
      <c r="G117" t="inlineStr">
        <is>
          <t>Atraso segregacion de autopista  Por emp 3 logger 1 hora fslla equipo clasif8cafs</t>
        </is>
      </c>
    </row>
    <row r="118">
      <c r="A118" t="n">
        <v>14</v>
      </c>
      <c r="B118" t="inlineStr">
        <is>
          <t>Millalemu 9</t>
        </is>
      </c>
      <c r="C118" t="n">
        <v>13</v>
      </c>
      <c r="D118" t="inlineStr">
        <is>
          <t>Traslados dentro del predio (cancha, sector)</t>
        </is>
      </c>
      <c r="E118" t="inlineStr">
        <is>
          <t>Operacional</t>
        </is>
      </c>
      <c r="F118" t="n">
        <v>60</v>
      </c>
      <c r="G118" t="inlineStr"/>
    </row>
    <row r="119">
      <c r="A119" t="n">
        <v>15</v>
      </c>
      <c r="B119" t="inlineStr">
        <is>
          <t>Millalemu 1.2</t>
        </is>
      </c>
      <c r="C119" t="n">
        <v>3</v>
      </c>
      <c r="D119" t="inlineStr">
        <is>
          <t xml:space="preserve"> Reparacion/Falla de carro de madereo</t>
        </is>
      </c>
      <c r="E119" t="inlineStr">
        <is>
          <t>Mantención</t>
        </is>
      </c>
      <c r="F119" t="n">
        <v>120</v>
      </c>
      <c r="G119" t="inlineStr">
        <is>
          <t>Falla dkiderd</t>
        </is>
      </c>
    </row>
    <row r="120">
      <c r="A120" t="n">
        <v>15</v>
      </c>
      <c r="B120" t="inlineStr">
        <is>
          <t>Millalemu 1.1</t>
        </is>
      </c>
      <c r="C120" t="n">
        <v>43</v>
      </c>
      <c r="D120" t="inlineStr">
        <is>
          <t>Colacion</t>
        </is>
      </c>
      <c r="E120" t="inlineStr">
        <is>
          <t>Proceso</t>
        </is>
      </c>
      <c r="F120" t="n">
        <v>60</v>
      </c>
      <c r="G120" t="inlineStr">
        <is>
          <t>Colacion</t>
        </is>
      </c>
    </row>
    <row r="121">
      <c r="A121" t="n">
        <v>15</v>
      </c>
      <c r="B121" t="inlineStr">
        <is>
          <t>Millalemu 1.1</t>
        </is>
      </c>
      <c r="C121" t="n">
        <v>1</v>
      </c>
      <c r="D121" t="inlineStr">
        <is>
          <t>Reparacion/Falla equipo de volteo</t>
        </is>
      </c>
      <c r="E121" t="inlineStr">
        <is>
          <t>Mantención</t>
        </is>
      </c>
      <c r="F121" t="n">
        <v>60</v>
      </c>
      <c r="G121" t="inlineStr">
        <is>
          <t>Reparacion equipo de volteo</t>
        </is>
      </c>
    </row>
    <row r="122">
      <c r="A122" t="n">
        <v>15</v>
      </c>
      <c r="B122" t="inlineStr">
        <is>
          <t>Millalemu 7</t>
        </is>
      </c>
      <c r="C122" t="n">
        <v>42</v>
      </c>
      <c r="D122" t="inlineStr">
        <is>
          <t>Descanso/Pausa programada</t>
        </is>
      </c>
      <c r="E122" t="inlineStr">
        <is>
          <t>Proceso</t>
        </is>
      </c>
      <c r="F122" t="n">
        <v>30</v>
      </c>
      <c r="G122" t="inlineStr">
        <is>
          <t>Pausa activa</t>
        </is>
      </c>
    </row>
    <row r="123">
      <c r="A123" t="n">
        <v>15</v>
      </c>
      <c r="B123" t="inlineStr">
        <is>
          <t>Millalemu 1.4</t>
        </is>
      </c>
      <c r="C123" t="n">
        <v>4</v>
      </c>
      <c r="D123" t="inlineStr">
        <is>
          <t>Reparacion/Falla equipo de Trozado</t>
        </is>
      </c>
      <c r="E123" t="inlineStr">
        <is>
          <t>Mantención</t>
        </is>
      </c>
      <c r="F123" t="n">
        <v>30</v>
      </c>
      <c r="G123" t="inlineStr">
        <is>
          <t>Afilado y cambio de cadenas</t>
        </is>
      </c>
    </row>
    <row r="124">
      <c r="A124" t="n">
        <v>15</v>
      </c>
      <c r="B124" t="inlineStr">
        <is>
          <t>Millalemu 1.4</t>
        </is>
      </c>
      <c r="C124" t="n">
        <v>4</v>
      </c>
      <c r="D124" t="inlineStr">
        <is>
          <t>Reparacion/Falla equipo de Trozado</t>
        </is>
      </c>
      <c r="E124" t="inlineStr">
        <is>
          <t>Mantención</t>
        </is>
      </c>
      <c r="F124" t="n">
        <v>120</v>
      </c>
      <c r="G124" t="inlineStr"/>
    </row>
    <row r="125">
      <c r="A125" t="n">
        <v>15</v>
      </c>
      <c r="B125" t="inlineStr">
        <is>
          <t>Millalemu 1.4</t>
        </is>
      </c>
      <c r="C125" t="n">
        <v>42</v>
      </c>
      <c r="D125" t="inlineStr">
        <is>
          <t>Descanso/Pausa programada</t>
        </is>
      </c>
      <c r="E125" t="inlineStr">
        <is>
          <t>Proceso</t>
        </is>
      </c>
      <c r="F125" t="n">
        <v>30</v>
      </c>
      <c r="G125" t="inlineStr"/>
    </row>
    <row r="126">
      <c r="A126" t="n">
        <v>15</v>
      </c>
      <c r="B126" t="inlineStr">
        <is>
          <t>Millalemu 1.3</t>
        </is>
      </c>
      <c r="C126" t="n">
        <v>1</v>
      </c>
      <c r="D126" t="inlineStr">
        <is>
          <t>Reparacion/Falla equipo de volteo</t>
        </is>
      </c>
      <c r="E126" t="inlineStr">
        <is>
          <t>Mantención</t>
        </is>
      </c>
      <c r="F126" t="n">
        <v>300</v>
      </c>
      <c r="G126" t="inlineStr">
        <is>
          <t>Madereo desde 500 mtrs</t>
        </is>
      </c>
    </row>
    <row r="127">
      <c r="A127" t="n">
        <v>15</v>
      </c>
      <c r="B127" t="inlineStr">
        <is>
          <t>Millalemu 9</t>
        </is>
      </c>
      <c r="C127" t="n">
        <v>4</v>
      </c>
      <c r="D127" t="inlineStr">
        <is>
          <t>Reparacion/Falla equipo de Trozado</t>
        </is>
      </c>
      <c r="E127" t="inlineStr">
        <is>
          <t>Mantención</t>
        </is>
      </c>
      <c r="F127" t="n">
        <v>120</v>
      </c>
      <c r="G127" t="inlineStr">
        <is>
          <t>Cambio rodillo cabezal</t>
        </is>
      </c>
    </row>
    <row r="128">
      <c r="A128" t="n">
        <v>15</v>
      </c>
      <c r="B128" t="inlineStr">
        <is>
          <t>Millalemu 9</t>
        </is>
      </c>
      <c r="C128" t="n">
        <v>13</v>
      </c>
      <c r="D128" t="inlineStr">
        <is>
          <t>Traslados dentro del predio (cancha, sector)</t>
        </is>
      </c>
      <c r="E128" t="inlineStr">
        <is>
          <t>Operacional</t>
        </is>
      </c>
      <c r="F128" t="n">
        <v>60</v>
      </c>
      <c r="G128" t="inlineStr"/>
    </row>
    <row r="129">
      <c r="A129" t="n">
        <v>15</v>
      </c>
      <c r="B129" t="inlineStr">
        <is>
          <t>Millalemu 9</t>
        </is>
      </c>
      <c r="C129" t="n">
        <v>31</v>
      </c>
      <c r="D129" t="inlineStr">
        <is>
          <t>Detencion por transito de camiones</t>
        </is>
      </c>
      <c r="E129" t="inlineStr">
        <is>
          <t>Operacional</t>
        </is>
      </c>
      <c r="F129" t="n">
        <v>60</v>
      </c>
      <c r="G129" t="inlineStr">
        <is>
          <t>Tránsito de camiones madereros, tolva, camionetas y furgones silvicolas y vehículos particulares</t>
        </is>
      </c>
    </row>
    <row r="130">
      <c r="A130" t="n">
        <v>15</v>
      </c>
      <c r="B130" t="inlineStr">
        <is>
          <t>Millalemu 9</t>
        </is>
      </c>
      <c r="C130" t="n">
        <v>20</v>
      </c>
      <c r="D130" t="inlineStr">
        <is>
          <t>Falta/abstecimiento de combustible equipo de volte</t>
        </is>
      </c>
      <c r="E130" t="inlineStr">
        <is>
          <t>Operacional</t>
        </is>
      </c>
      <c r="F130" t="n">
        <v>60</v>
      </c>
      <c r="G130" t="inlineStr"/>
    </row>
    <row r="131">
      <c r="A131" t="n">
        <v>15</v>
      </c>
      <c r="B131" t="inlineStr">
        <is>
          <t>Millalemu 11</t>
        </is>
      </c>
      <c r="C131" t="n">
        <v>25</v>
      </c>
      <c r="D131" t="inlineStr">
        <is>
          <t>Instalacion de torre (vientos/ soportes)</t>
        </is>
      </c>
      <c r="E131" t="inlineStr">
        <is>
          <t>Operacional</t>
        </is>
      </c>
      <c r="F131" t="n">
        <v>180</v>
      </c>
      <c r="G131" t="inlineStr">
        <is>
          <t>Cable de retorno enrededo</t>
        </is>
      </c>
    </row>
    <row r="132">
      <c r="A132" t="n">
        <v>16</v>
      </c>
      <c r="B132" t="inlineStr">
        <is>
          <t>Millalemu 1.2</t>
        </is>
      </c>
      <c r="C132" t="n">
        <v>2</v>
      </c>
      <c r="D132" t="inlineStr">
        <is>
          <t>Reparacion/Falla de equipo de madereo</t>
        </is>
      </c>
      <c r="E132" t="inlineStr">
        <is>
          <t>Mantención</t>
        </is>
      </c>
      <c r="F132" t="n">
        <v>60</v>
      </c>
      <c r="G132" t="inlineStr">
        <is>
          <t>Falla fkexibla skidder</t>
        </is>
      </c>
    </row>
    <row r="133">
      <c r="A133" t="n">
        <v>16</v>
      </c>
      <c r="B133" t="inlineStr">
        <is>
          <t>Millalemu 1.1</t>
        </is>
      </c>
      <c r="C133" t="n">
        <v>43</v>
      </c>
      <c r="D133" t="inlineStr">
        <is>
          <t>Colacion</t>
        </is>
      </c>
      <c r="E133" t="inlineStr">
        <is>
          <t>Proceso</t>
        </is>
      </c>
      <c r="F133" t="n">
        <v>60</v>
      </c>
      <c r="G133" t="inlineStr">
        <is>
          <t>Colacion</t>
        </is>
      </c>
    </row>
    <row r="134">
      <c r="A134" t="n">
        <v>16</v>
      </c>
      <c r="B134" t="inlineStr">
        <is>
          <t>Millalemu 1.1</t>
        </is>
      </c>
      <c r="C134" t="n">
        <v>2</v>
      </c>
      <c r="D134" t="inlineStr">
        <is>
          <t>Reparacion/Falla de equipo de madereo</t>
        </is>
      </c>
      <c r="E134" t="inlineStr">
        <is>
          <t>Mantención</t>
        </is>
      </c>
      <c r="F134" t="n">
        <v>180</v>
      </c>
      <c r="G134" t="inlineStr">
        <is>
          <t>Reparacion skideer</t>
        </is>
      </c>
    </row>
    <row r="135">
      <c r="A135" t="n">
        <v>16</v>
      </c>
      <c r="B135" t="inlineStr">
        <is>
          <t>Millalemu 7</t>
        </is>
      </c>
      <c r="C135" t="n">
        <v>42</v>
      </c>
      <c r="D135" t="inlineStr">
        <is>
          <t>Descanso/Pausa programada</t>
        </is>
      </c>
      <c r="E135" t="inlineStr">
        <is>
          <t>Proceso</t>
        </is>
      </c>
      <c r="F135" t="n">
        <v>30</v>
      </c>
      <c r="G135" t="inlineStr">
        <is>
          <t>Pausa activa</t>
        </is>
      </c>
    </row>
    <row r="136">
      <c r="A136" t="n">
        <v>16</v>
      </c>
      <c r="B136" t="inlineStr">
        <is>
          <t>Millalemu 1.3</t>
        </is>
      </c>
      <c r="C136" t="n">
        <v>1</v>
      </c>
      <c r="D136" t="inlineStr">
        <is>
          <t>Reparacion/Falla equipo de volteo</t>
        </is>
      </c>
      <c r="E136" t="inlineStr">
        <is>
          <t>Mantención</t>
        </is>
      </c>
      <c r="F136" t="n">
        <v>240</v>
      </c>
      <c r="G136" t="inlineStr"/>
    </row>
    <row r="137">
      <c r="A137" t="n">
        <v>16</v>
      </c>
      <c r="B137" t="inlineStr">
        <is>
          <t>Millalemu 11</t>
        </is>
      </c>
      <c r="C137" t="n">
        <v>68</v>
      </c>
      <c r="D137" t="inlineStr">
        <is>
          <t>Sobre Shoveleo</t>
        </is>
      </c>
      <c r="E137" t="inlineStr">
        <is>
          <t>Operacional</t>
        </is>
      </c>
      <c r="F137" t="n">
        <v>240</v>
      </c>
      <c r="G137" t="inlineStr"/>
    </row>
    <row r="138">
      <c r="A138" t="n">
        <v>16</v>
      </c>
      <c r="B138" t="inlineStr">
        <is>
          <t>Millalemu 1.4</t>
        </is>
      </c>
      <c r="C138" t="n">
        <v>4</v>
      </c>
      <c r="D138" t="inlineStr">
        <is>
          <t>Reparacion/Falla equipo de Trozado</t>
        </is>
      </c>
      <c r="E138" t="inlineStr">
        <is>
          <t>Mantención</t>
        </is>
      </c>
      <c r="F138" t="n">
        <v>90</v>
      </c>
      <c r="G138" t="inlineStr"/>
    </row>
    <row r="139">
      <c r="A139" t="n">
        <v>16</v>
      </c>
      <c r="B139" t="inlineStr">
        <is>
          <t>Millalemu 1.4</t>
        </is>
      </c>
      <c r="C139" t="n">
        <v>4</v>
      </c>
      <c r="D139" t="inlineStr">
        <is>
          <t>Reparacion/Falla equipo de Trozado</t>
        </is>
      </c>
      <c r="E139" t="inlineStr">
        <is>
          <t>Mantención</t>
        </is>
      </c>
      <c r="F139" t="n">
        <v>30</v>
      </c>
      <c r="G139" t="inlineStr">
        <is>
          <t>Afilado y cambio de cadenas</t>
        </is>
      </c>
    </row>
    <row r="140">
      <c r="A140" t="n">
        <v>16</v>
      </c>
      <c r="B140" t="inlineStr">
        <is>
          <t>Millalemu 9</t>
        </is>
      </c>
      <c r="C140" t="n">
        <v>22</v>
      </c>
      <c r="D140" t="inlineStr">
        <is>
          <t>Falta/abstecimiento de combustible equipo de proce</t>
        </is>
      </c>
      <c r="E140" t="inlineStr">
        <is>
          <t>Operacional</t>
        </is>
      </c>
      <c r="F140" t="n">
        <v>60</v>
      </c>
      <c r="G140" t="inlineStr">
        <is>
          <t>Traslado de  equipo a zona de abastecimiento lejana por camino no accesible al camión de combustible</t>
        </is>
      </c>
    </row>
    <row r="141">
      <c r="A141" t="n">
        <v>17</v>
      </c>
      <c r="B141" t="inlineStr">
        <is>
          <t>Millalemu 1.1</t>
        </is>
      </c>
      <c r="C141" t="n">
        <v>43</v>
      </c>
      <c r="D141" t="inlineStr">
        <is>
          <t>Colacion</t>
        </is>
      </c>
      <c r="E141" t="inlineStr">
        <is>
          <t>Proceso</t>
        </is>
      </c>
      <c r="F141" t="n">
        <v>60</v>
      </c>
      <c r="G141" t="inlineStr">
        <is>
          <t>Colacion</t>
        </is>
      </c>
    </row>
    <row r="142">
      <c r="A142" t="n">
        <v>17</v>
      </c>
      <c r="B142" t="inlineStr">
        <is>
          <t>Millalemu 1.1</t>
        </is>
      </c>
      <c r="C142" t="n">
        <v>8</v>
      </c>
      <c r="D142" t="inlineStr">
        <is>
          <t>Mantencion equipo de madereo</t>
        </is>
      </c>
      <c r="E142" t="inlineStr">
        <is>
          <t>Operacional</t>
        </is>
      </c>
      <c r="F142" t="n">
        <v>60</v>
      </c>
      <c r="G142" t="inlineStr">
        <is>
          <t>Relleno de aceites, espera de volteo</t>
        </is>
      </c>
    </row>
    <row r="143">
      <c r="A143" t="n">
        <v>17</v>
      </c>
      <c r="B143" t="inlineStr">
        <is>
          <t>Millalemu 1.1</t>
        </is>
      </c>
      <c r="C143" t="n">
        <v>1</v>
      </c>
      <c r="D143" t="inlineStr">
        <is>
          <t>Reparacion/Falla equipo de volteo</t>
        </is>
      </c>
      <c r="E143" t="inlineStr">
        <is>
          <t>Mantención</t>
        </is>
      </c>
      <c r="F143" t="n">
        <v>120</v>
      </c>
      <c r="G143" t="inlineStr">
        <is>
          <t>Reparacion cambio flexible</t>
        </is>
      </c>
    </row>
    <row r="144">
      <c r="A144" t="n">
        <v>17</v>
      </c>
      <c r="B144" t="inlineStr">
        <is>
          <t>Millalemu 5</t>
        </is>
      </c>
      <c r="C144" t="n">
        <v>4</v>
      </c>
      <c r="D144" t="inlineStr">
        <is>
          <t>Reparacion/Falla equipo de Trozado</t>
        </is>
      </c>
      <c r="E144" t="inlineStr">
        <is>
          <t>Mantención</t>
        </is>
      </c>
      <c r="F144" t="n">
        <v>120</v>
      </c>
      <c r="G144" t="inlineStr">
        <is>
          <t>Falla en polea se cambian rodamientos</t>
        </is>
      </c>
    </row>
    <row r="145">
      <c r="A145" t="n">
        <v>17</v>
      </c>
      <c r="B145" t="inlineStr">
        <is>
          <t>Millalemu 1.2</t>
        </is>
      </c>
      <c r="C145" t="n">
        <v>13</v>
      </c>
      <c r="D145" t="inlineStr">
        <is>
          <t>Traslados dentro del predio (cancha, sector)</t>
        </is>
      </c>
      <c r="E145" t="inlineStr">
        <is>
          <t>Operacional</t>
        </is>
      </c>
      <c r="F145" t="n">
        <v>120</v>
      </c>
      <c r="G145" t="inlineStr">
        <is>
          <t>Trsdlado de escenario dentrovdelboredio</t>
        </is>
      </c>
    </row>
    <row r="146">
      <c r="A146" t="n">
        <v>17</v>
      </c>
      <c r="B146" t="inlineStr">
        <is>
          <t>Millalemu 1.4</t>
        </is>
      </c>
      <c r="C146" t="n">
        <v>4</v>
      </c>
      <c r="D146" t="inlineStr">
        <is>
          <t>Reparacion/Falla equipo de Trozado</t>
        </is>
      </c>
      <c r="E146" t="inlineStr">
        <is>
          <t>Mantención</t>
        </is>
      </c>
      <c r="F146" t="n">
        <v>30</v>
      </c>
      <c r="G146" t="inlineStr">
        <is>
          <t>Sbastesimiento de combustible</t>
        </is>
      </c>
    </row>
    <row r="147">
      <c r="A147" t="n">
        <v>17</v>
      </c>
      <c r="B147" t="inlineStr">
        <is>
          <t>Millalemu 1.4</t>
        </is>
      </c>
      <c r="C147" t="n">
        <v>4</v>
      </c>
      <c r="D147" t="inlineStr">
        <is>
          <t>Reparacion/Falla equipo de Trozado</t>
        </is>
      </c>
      <c r="E147" t="inlineStr">
        <is>
          <t>Mantención</t>
        </is>
      </c>
      <c r="F147" t="n">
        <v>30</v>
      </c>
      <c r="G147" t="inlineStr">
        <is>
          <t>Afilado y cambio de cadenas</t>
        </is>
      </c>
    </row>
    <row r="148">
      <c r="A148" t="n">
        <v>17</v>
      </c>
      <c r="B148" t="inlineStr">
        <is>
          <t>Millalemu 1.4</t>
        </is>
      </c>
      <c r="C148" t="n">
        <v>4</v>
      </c>
      <c r="D148" t="inlineStr">
        <is>
          <t>Reparacion/Falla equipo de Trozado</t>
        </is>
      </c>
      <c r="E148" t="inlineStr">
        <is>
          <t>Mantención</t>
        </is>
      </c>
      <c r="F148" t="n">
        <v>120</v>
      </c>
      <c r="G148" t="inlineStr"/>
    </row>
    <row r="149">
      <c r="A149" t="n">
        <v>17</v>
      </c>
      <c r="B149" t="inlineStr">
        <is>
          <t>Millalemu 11</t>
        </is>
      </c>
      <c r="C149" t="n">
        <v>68</v>
      </c>
      <c r="D149" t="inlineStr">
        <is>
          <t>Sobre Shoveleo</t>
        </is>
      </c>
      <c r="E149" t="inlineStr">
        <is>
          <t>Operacional</t>
        </is>
      </c>
      <c r="F149" t="n">
        <v>120</v>
      </c>
      <c r="G149" t="inlineStr"/>
    </row>
    <row r="150">
      <c r="A150" t="n">
        <v>17</v>
      </c>
      <c r="B150" t="inlineStr">
        <is>
          <t>Millalemu 11</t>
        </is>
      </c>
      <c r="C150" t="n">
        <v>69</v>
      </c>
      <c r="D150" t="inlineStr">
        <is>
          <t>Reparacion/Falla de camaras de madereo</t>
        </is>
      </c>
      <c r="E150" t="inlineStr">
        <is>
          <t>Operacional</t>
        </is>
      </c>
      <c r="F150" t="n">
        <v>120</v>
      </c>
      <c r="G150" t="inlineStr"/>
    </row>
    <row r="151">
      <c r="A151" t="n">
        <v>17</v>
      </c>
      <c r="B151" t="inlineStr">
        <is>
          <t>Millalemu 11</t>
        </is>
      </c>
      <c r="C151" t="n">
        <v>66</v>
      </c>
      <c r="D151" t="inlineStr">
        <is>
          <t>Recuperacion</t>
        </is>
      </c>
      <c r="E151" t="inlineStr">
        <is>
          <t>Operacional</t>
        </is>
      </c>
      <c r="F151" t="n">
        <v>300</v>
      </c>
      <c r="G151" t="inlineStr">
        <is>
          <t>Remate de un esc al final de linea 3 de madereo esc 4, el remate en esc 788</t>
        </is>
      </c>
    </row>
    <row r="152">
      <c r="A152" t="n">
        <v>17</v>
      </c>
      <c r="B152" t="inlineStr">
        <is>
          <t>Millalemu 9</t>
        </is>
      </c>
      <c r="C152" t="n">
        <v>22</v>
      </c>
      <c r="D152" t="inlineStr">
        <is>
          <t>Falta/abstecimiento de combustible equipo de proce</t>
        </is>
      </c>
      <c r="E152" t="inlineStr">
        <is>
          <t>Operacional</t>
        </is>
      </c>
      <c r="F152" t="n">
        <v>60</v>
      </c>
      <c r="G152" t="inlineStr">
        <is>
          <t>Traslado de equipos a zona de cargio combustible por camino en mal estado</t>
        </is>
      </c>
    </row>
    <row r="153">
      <c r="A153" t="n">
        <v>17</v>
      </c>
      <c r="B153" t="inlineStr">
        <is>
          <t>Millalemu 9</t>
        </is>
      </c>
      <c r="C153" t="n">
        <v>10</v>
      </c>
      <c r="D153" t="inlineStr">
        <is>
          <t>Mantencion equipo de trozado</t>
        </is>
      </c>
      <c r="E153" t="inlineStr">
        <is>
          <t>Operacional</t>
        </is>
      </c>
      <c r="F153" t="n">
        <v>60</v>
      </c>
      <c r="G153" t="inlineStr">
        <is>
          <t>Cambio sellos a cilindro de cuchillos</t>
        </is>
      </c>
    </row>
    <row r="154">
      <c r="A154" t="n">
        <v>17</v>
      </c>
      <c r="B154" t="inlineStr">
        <is>
          <t>Millalemu 1.3</t>
        </is>
      </c>
      <c r="C154" t="n">
        <v>14</v>
      </c>
      <c r="D154" t="inlineStr">
        <is>
          <t>Traslados otro predio</t>
        </is>
      </c>
      <c r="E154" t="inlineStr">
        <is>
          <t>Operacional</t>
        </is>
      </c>
      <c r="F154" t="n">
        <v>180</v>
      </c>
      <c r="G154" t="inlineStr">
        <is>
          <t>Traslado 3 hrs</t>
        </is>
      </c>
    </row>
    <row r="155">
      <c r="A155" t="n">
        <v>17</v>
      </c>
      <c r="B155" t="inlineStr">
        <is>
          <t>Millalemu 7</t>
        </is>
      </c>
      <c r="C155" t="n">
        <v>42</v>
      </c>
      <c r="D155" t="inlineStr">
        <is>
          <t>Descanso/Pausa programada</t>
        </is>
      </c>
      <c r="E155" t="inlineStr">
        <is>
          <t>Proceso</t>
        </is>
      </c>
      <c r="F155" t="n">
        <v>30</v>
      </c>
      <c r="G155" t="inlineStr">
        <is>
          <t>Pausa activa</t>
        </is>
      </c>
    </row>
    <row r="156">
      <c r="A156" t="n">
        <v>18</v>
      </c>
      <c r="B156" t="inlineStr">
        <is>
          <t>Millalemu 1.1</t>
        </is>
      </c>
      <c r="C156" t="n">
        <v>43</v>
      </c>
      <c r="D156" t="inlineStr">
        <is>
          <t>Colacion</t>
        </is>
      </c>
      <c r="E156" t="inlineStr">
        <is>
          <t>Proceso</t>
        </is>
      </c>
      <c r="F156" t="n">
        <v>60</v>
      </c>
      <c r="G156" t="inlineStr">
        <is>
          <t>Colacion</t>
        </is>
      </c>
    </row>
    <row r="157">
      <c r="A157" t="n">
        <v>18</v>
      </c>
      <c r="B157" t="inlineStr">
        <is>
          <t>Millalemu 1.1</t>
        </is>
      </c>
      <c r="C157" t="n">
        <v>2</v>
      </c>
      <c r="D157" t="inlineStr">
        <is>
          <t>Reparacion/Falla de equipo de madereo</t>
        </is>
      </c>
      <c r="E157" t="inlineStr">
        <is>
          <t>Mantención</t>
        </is>
      </c>
      <c r="F157" t="n">
        <v>300</v>
      </c>
      <c r="G157" t="inlineStr">
        <is>
          <t>Reparacion neumatico skidder</t>
        </is>
      </c>
    </row>
    <row r="158">
      <c r="A158" t="n">
        <v>18</v>
      </c>
      <c r="B158" t="inlineStr">
        <is>
          <t>Millalemu 11</t>
        </is>
      </c>
      <c r="C158" t="n">
        <v>3</v>
      </c>
      <c r="D158" t="inlineStr">
        <is>
          <t xml:space="preserve"> Reparacion/Falla de carro de madereo</t>
        </is>
      </c>
      <c r="E158" t="inlineStr">
        <is>
          <t>Mantención</t>
        </is>
      </c>
      <c r="F158" t="n">
        <v>540</v>
      </c>
      <c r="G158" t="inlineStr"/>
    </row>
    <row r="159">
      <c r="A159" t="n">
        <v>18</v>
      </c>
      <c r="B159" t="inlineStr">
        <is>
          <t>Millalemu 1.4</t>
        </is>
      </c>
      <c r="C159" t="n">
        <v>4</v>
      </c>
      <c r="D159" t="inlineStr">
        <is>
          <t>Reparacion/Falla equipo de Trozado</t>
        </is>
      </c>
      <c r="E159" t="inlineStr">
        <is>
          <t>Mantención</t>
        </is>
      </c>
      <c r="F159" t="n">
        <v>30</v>
      </c>
      <c r="G159" t="inlineStr">
        <is>
          <t>Abastesimiento de combustible</t>
        </is>
      </c>
    </row>
    <row r="160">
      <c r="A160" t="n">
        <v>18</v>
      </c>
      <c r="B160" t="inlineStr">
        <is>
          <t>Millalemu 1.4</t>
        </is>
      </c>
      <c r="C160" t="n">
        <v>4</v>
      </c>
      <c r="D160" t="inlineStr">
        <is>
          <t>Reparacion/Falla equipo de Trozado</t>
        </is>
      </c>
      <c r="E160" t="inlineStr">
        <is>
          <t>Mantención</t>
        </is>
      </c>
      <c r="F160" t="n">
        <v>30</v>
      </c>
      <c r="G160" t="inlineStr">
        <is>
          <t>Afilado y csmbio de cadenss</t>
        </is>
      </c>
    </row>
    <row r="161">
      <c r="A161" t="n">
        <v>18</v>
      </c>
      <c r="B161" t="inlineStr">
        <is>
          <t>Millalemu 7</t>
        </is>
      </c>
      <c r="C161" t="n">
        <v>42</v>
      </c>
      <c r="D161" t="inlineStr">
        <is>
          <t>Descanso/Pausa programada</t>
        </is>
      </c>
      <c r="E161" t="inlineStr">
        <is>
          <t>Proceso</t>
        </is>
      </c>
      <c r="F161" t="n">
        <v>30</v>
      </c>
      <c r="G161" t="inlineStr">
        <is>
          <t>Pausa activa</t>
        </is>
      </c>
    </row>
    <row r="162">
      <c r="A162" t="n">
        <v>18</v>
      </c>
      <c r="B162" t="inlineStr">
        <is>
          <t>Millalemu 9</t>
        </is>
      </c>
      <c r="C162" t="n">
        <v>4</v>
      </c>
      <c r="D162" t="inlineStr">
        <is>
          <t>Reparacion/Falla equipo de Trozado</t>
        </is>
      </c>
      <c r="E162" t="inlineStr">
        <is>
          <t>Mantención</t>
        </is>
      </c>
      <c r="F162" t="n">
        <v>120</v>
      </c>
      <c r="G162" t="inlineStr">
        <is>
          <t>Falla pistón de porta espada</t>
        </is>
      </c>
    </row>
    <row r="163">
      <c r="A163" t="n">
        <v>18</v>
      </c>
      <c r="B163" t="inlineStr">
        <is>
          <t>Millalemu 9</t>
        </is>
      </c>
      <c r="C163" t="n">
        <v>22</v>
      </c>
      <c r="D163" t="inlineStr">
        <is>
          <t>Falta/abstecimiento de combustible equipo de proce</t>
        </is>
      </c>
      <c r="E163" t="inlineStr">
        <is>
          <t>Operacional</t>
        </is>
      </c>
      <c r="F163" t="n">
        <v>60</v>
      </c>
      <c r="G163" t="inlineStr">
        <is>
          <t>Traslado de equipos a zona de cargio combustible por camino mal estado</t>
        </is>
      </c>
    </row>
    <row r="164">
      <c r="A164" t="n">
        <v>18</v>
      </c>
      <c r="B164" t="inlineStr">
        <is>
          <t>Millalemu 1.2</t>
        </is>
      </c>
      <c r="C164" t="n">
        <v>41</v>
      </c>
      <c r="D164" t="inlineStr">
        <is>
          <t>Detencion por visitas</t>
        </is>
      </c>
      <c r="E164" t="inlineStr">
        <is>
          <t>Operacional</t>
        </is>
      </c>
      <c r="F164" t="n">
        <v>120</v>
      </c>
      <c r="G164" t="inlineStr">
        <is>
          <t>Visita auditoria  fsc</t>
        </is>
      </c>
    </row>
    <row r="165">
      <c r="A165" t="n">
        <v>18</v>
      </c>
      <c r="B165" t="inlineStr">
        <is>
          <t>Millalemu 1.3</t>
        </is>
      </c>
      <c r="C165" t="n">
        <v>1</v>
      </c>
      <c r="D165" t="inlineStr">
        <is>
          <t>Reparacion/Falla equipo de volteo</t>
        </is>
      </c>
      <c r="E165" t="inlineStr">
        <is>
          <t>Mantención</t>
        </is>
      </c>
      <c r="F165" t="n">
        <v>120</v>
      </c>
      <c r="G165" t="inlineStr">
        <is>
          <t>Madereo desde 350 metros</t>
        </is>
      </c>
    </row>
    <row r="166">
      <c r="A166" t="n">
        <v>19</v>
      </c>
      <c r="B166" t="inlineStr">
        <is>
          <t>Millalemu 1.2</t>
        </is>
      </c>
      <c r="C166" t="n">
        <v>13</v>
      </c>
      <c r="D166" t="inlineStr">
        <is>
          <t>Traslados dentro del predio (cancha, sector)</t>
        </is>
      </c>
      <c r="E166" t="inlineStr">
        <is>
          <t>Operacional</t>
        </is>
      </c>
      <c r="F166" t="n">
        <v>300</v>
      </c>
      <c r="G166" t="inlineStr">
        <is>
          <t>Traslado de escenario no se pudo trozar po fslta de espacio y didtancia de realizo volteo</t>
        </is>
      </c>
    </row>
    <row r="167">
      <c r="A167" t="n">
        <v>19</v>
      </c>
      <c r="B167" t="inlineStr">
        <is>
          <t>Millalemu 1.3</t>
        </is>
      </c>
      <c r="C167" t="n">
        <v>4</v>
      </c>
      <c r="D167" t="inlineStr">
        <is>
          <t>Reparacion/Falla equipo de Trozado</t>
        </is>
      </c>
      <c r="E167" t="inlineStr">
        <is>
          <t>Mantención</t>
        </is>
      </c>
      <c r="F167" t="n">
        <v>300</v>
      </c>
      <c r="G167" t="inlineStr">
        <is>
          <t>Madereo desde 350 metros</t>
        </is>
      </c>
    </row>
    <row r="168">
      <c r="A168" t="n">
        <v>19</v>
      </c>
      <c r="B168" t="inlineStr">
        <is>
          <t>Millalemu 1.1</t>
        </is>
      </c>
      <c r="C168" t="n">
        <v>43</v>
      </c>
      <c r="D168" t="inlineStr">
        <is>
          <t>Colacion</t>
        </is>
      </c>
      <c r="E168" t="inlineStr">
        <is>
          <t>Proceso</t>
        </is>
      </c>
      <c r="F168" t="n">
        <v>60</v>
      </c>
      <c r="G168" t="inlineStr">
        <is>
          <t>Colacion</t>
        </is>
      </c>
    </row>
    <row r="169">
      <c r="A169" t="n">
        <v>19</v>
      </c>
      <c r="B169" t="inlineStr">
        <is>
          <t>Millalemu 1.1</t>
        </is>
      </c>
      <c r="C169" t="n">
        <v>17</v>
      </c>
      <c r="D169" t="inlineStr">
        <is>
          <t>Falta de trozado</t>
        </is>
      </c>
      <c r="E169" t="inlineStr">
        <is>
          <t>Operacional</t>
        </is>
      </c>
      <c r="F169" t="n">
        <v>240</v>
      </c>
      <c r="G169" t="inlineStr">
        <is>
          <t>Falta de trozado por espera de madereo</t>
        </is>
      </c>
    </row>
    <row r="170">
      <c r="A170" t="n">
        <v>19</v>
      </c>
      <c r="B170" t="inlineStr">
        <is>
          <t>Millalemu 1.4</t>
        </is>
      </c>
      <c r="C170" t="n">
        <v>4</v>
      </c>
      <c r="D170" t="inlineStr">
        <is>
          <t>Reparacion/Falla equipo de Trozado</t>
        </is>
      </c>
      <c r="E170" t="inlineStr">
        <is>
          <t>Mantención</t>
        </is>
      </c>
      <c r="F170" t="n">
        <v>30</v>
      </c>
      <c r="G170" t="inlineStr">
        <is>
          <t>Absstesimiento de combustible</t>
        </is>
      </c>
    </row>
    <row r="171">
      <c r="A171" t="n">
        <v>19</v>
      </c>
      <c r="B171" t="inlineStr">
        <is>
          <t>Millalemu 1.4</t>
        </is>
      </c>
      <c r="C171" t="n">
        <v>4</v>
      </c>
      <c r="D171" t="inlineStr">
        <is>
          <t>Reparacion/Falla equipo de Trozado</t>
        </is>
      </c>
      <c r="E171" t="inlineStr">
        <is>
          <t>Mantención</t>
        </is>
      </c>
      <c r="F171" t="n">
        <v>30</v>
      </c>
      <c r="G171" t="inlineStr">
        <is>
          <t>Afilado y cambio de cadenas</t>
        </is>
      </c>
    </row>
    <row r="172">
      <c r="A172" t="n">
        <v>19</v>
      </c>
      <c r="B172" t="inlineStr">
        <is>
          <t>Millalemu 9</t>
        </is>
      </c>
      <c r="C172" t="n">
        <v>22</v>
      </c>
      <c r="D172" t="inlineStr">
        <is>
          <t>Falta/abstecimiento de combustible equipo de proce</t>
        </is>
      </c>
      <c r="E172" t="inlineStr">
        <is>
          <t>Operacional</t>
        </is>
      </c>
      <c r="F172" t="n">
        <v>60</v>
      </c>
      <c r="G172" t="inlineStr">
        <is>
          <t>Traslado de equipos a zona cargio por camino mal estado</t>
        </is>
      </c>
    </row>
    <row r="173">
      <c r="A173" t="n">
        <v>19</v>
      </c>
      <c r="B173" t="inlineStr">
        <is>
          <t>Millalemu 7</t>
        </is>
      </c>
      <c r="C173" t="n">
        <v>42</v>
      </c>
      <c r="D173" t="inlineStr">
        <is>
          <t>Descanso/Pausa programada</t>
        </is>
      </c>
      <c r="E173" t="inlineStr">
        <is>
          <t>Proceso</t>
        </is>
      </c>
      <c r="F173" t="n">
        <v>30</v>
      </c>
      <c r="G173" t="inlineStr">
        <is>
          <t>Pausa activa</t>
        </is>
      </c>
    </row>
    <row r="174">
      <c r="A174" t="n">
        <v>20</v>
      </c>
      <c r="B174" t="inlineStr">
        <is>
          <t>Millalemu 1.1</t>
        </is>
      </c>
      <c r="C174" t="n">
        <v>7</v>
      </c>
      <c r="D174" t="inlineStr">
        <is>
          <t xml:space="preserve"> Mantencion equipo de volteo</t>
        </is>
      </c>
      <c r="E174" t="inlineStr">
        <is>
          <t>Operacional</t>
        </is>
      </c>
      <c r="F174" t="n">
        <v>420</v>
      </c>
      <c r="G174" t="inlineStr">
        <is>
          <t>Cambio de rodado de oruga</t>
        </is>
      </c>
    </row>
    <row r="175">
      <c r="A175" t="n">
        <v>20</v>
      </c>
      <c r="B175" t="inlineStr">
        <is>
          <t>Millalemu 1.4</t>
        </is>
      </c>
      <c r="C175" t="n">
        <v>4</v>
      </c>
      <c r="D175" t="inlineStr">
        <is>
          <t>Reparacion/Falla equipo de Trozado</t>
        </is>
      </c>
      <c r="E175" t="inlineStr">
        <is>
          <t>Mantención</t>
        </is>
      </c>
      <c r="F175" t="n">
        <v>30</v>
      </c>
      <c r="G175" t="inlineStr">
        <is>
          <t>Abastesimiento de combustible</t>
        </is>
      </c>
    </row>
    <row r="176">
      <c r="A176" t="n">
        <v>20</v>
      </c>
      <c r="B176" t="inlineStr">
        <is>
          <t>Millalemu 1.4</t>
        </is>
      </c>
      <c r="C176" t="n">
        <v>4</v>
      </c>
      <c r="D176" t="inlineStr">
        <is>
          <t>Reparacion/Falla equipo de Trozado</t>
        </is>
      </c>
      <c r="E176" t="inlineStr">
        <is>
          <t>Mantención</t>
        </is>
      </c>
      <c r="F176" t="n">
        <v>30</v>
      </c>
      <c r="G176" t="inlineStr">
        <is>
          <t>Afilado y cambio de cadenas</t>
        </is>
      </c>
    </row>
    <row r="177">
      <c r="A177" t="n">
        <v>20</v>
      </c>
      <c r="B177" t="inlineStr">
        <is>
          <t>Millalemu 1.2</t>
        </is>
      </c>
      <c r="C177" t="n">
        <v>18</v>
      </c>
      <c r="D177" t="inlineStr">
        <is>
          <t>Falta de volteo o desrame</t>
        </is>
      </c>
      <c r="E177" t="inlineStr">
        <is>
          <t>Operacional</t>
        </is>
      </c>
      <c r="F177" t="n">
        <v>120</v>
      </c>
      <c r="G177" t="inlineStr">
        <is>
          <t>Falta volteo por distancia de seguridad</t>
        </is>
      </c>
    </row>
    <row r="178">
      <c r="A178" t="n">
        <v>20</v>
      </c>
      <c r="B178" t="inlineStr">
        <is>
          <t>Millalemu 11</t>
        </is>
      </c>
      <c r="C178" t="n">
        <v>61</v>
      </c>
      <c r="D178" t="inlineStr">
        <is>
          <t>Detenido por apoyo a otro equipo</t>
        </is>
      </c>
      <c r="E178" t="inlineStr">
        <is>
          <t>Operacional</t>
        </is>
      </c>
      <c r="F178" t="n">
        <v>120</v>
      </c>
      <c r="G178" t="inlineStr"/>
    </row>
    <row r="179">
      <c r="A179" t="n">
        <v>20</v>
      </c>
      <c r="B179" t="inlineStr">
        <is>
          <t>Millalemu 1.3</t>
        </is>
      </c>
      <c r="C179" t="n">
        <v>1</v>
      </c>
      <c r="D179" t="inlineStr">
        <is>
          <t>Reparacion/Falla equipo de volteo</t>
        </is>
      </c>
      <c r="E179" t="inlineStr">
        <is>
          <t>Mantención</t>
        </is>
      </c>
      <c r="F179" t="n">
        <v>360</v>
      </c>
      <c r="G179" t="inlineStr">
        <is>
          <t>Equipo garra r77 falto que arrumar pulpa 300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52"/>
  <sheetViews>
    <sheetView workbookViewId="0">
      <selection activeCell="A1" sqref="A1"/>
    </sheetView>
  </sheetViews>
  <sheetFormatPr baseColWidth="8" defaultRowHeight="15"/>
  <sheetData>
    <row r="1">
      <c r="A1" s="277" t="inlineStr">
        <is>
          <t>Parámetro</t>
        </is>
      </c>
      <c r="B1" s="277" t="inlineStr">
        <is>
          <t>Valor</t>
        </is>
      </c>
    </row>
    <row r="2">
      <c r="A2" t="inlineStr">
        <is>
          <t>Mes</t>
        </is>
      </c>
      <c r="B2" t="n">
        <v>5</v>
      </c>
    </row>
    <row r="3">
      <c r="A3" t="inlineStr">
        <is>
          <t>Año</t>
        </is>
      </c>
      <c r="B3" t="n">
        <v>2026</v>
      </c>
    </row>
    <row r="4">
      <c r="A4" t="inlineStr">
        <is>
          <t>Días mes</t>
        </is>
      </c>
      <c r="B4" t="n">
        <v>31</v>
      </c>
    </row>
    <row r="5">
      <c r="A5" t="inlineStr">
        <is>
          <t>Días no trab.</t>
        </is>
      </c>
      <c r="B5" t="n">
        <v>1</v>
      </c>
    </row>
    <row r="6">
      <c r="A6" t="inlineStr">
        <is>
          <t>Días a trabajar</t>
        </is>
      </c>
      <c r="B6" t="n">
        <v>30</v>
      </c>
    </row>
    <row r="7">
      <c r="A7" t="inlineStr">
        <is>
          <t>Hrs potenciales</t>
        </is>
      </c>
      <c r="B7" t="n">
        <v>10</v>
      </c>
    </row>
    <row r="8">
      <c r="A8" t="inlineStr">
        <is>
          <t>Días con datos</t>
        </is>
      </c>
      <c r="B8" t="n">
        <v>20</v>
      </c>
    </row>
    <row r="9">
      <c r="A9" t="inlineStr">
        <is>
          <t>Días restantes</t>
        </is>
      </c>
      <c r="B9" t="n">
        <v>10</v>
      </c>
    </row>
    <row r="11">
      <c r="A11" s="277" t="inlineStr">
        <is>
          <t>Team</t>
        </is>
      </c>
      <c r="B11" s="277" t="inlineStr">
        <is>
          <t>Meta Mensual</t>
        </is>
      </c>
    </row>
    <row r="12">
      <c r="A12" t="inlineStr">
        <is>
          <t>Millalemu 1.1</t>
        </is>
      </c>
      <c r="B12" t="n">
        <v>7000</v>
      </c>
    </row>
    <row r="13">
      <c r="A13" t="inlineStr">
        <is>
          <t>Millalemu 1.2</t>
        </is>
      </c>
      <c r="B13" t="n">
        <v>7000</v>
      </c>
    </row>
    <row r="14">
      <c r="A14" t="inlineStr">
        <is>
          <t>Millalemu 1.3</t>
        </is>
      </c>
      <c r="B14" t="n">
        <v>7000</v>
      </c>
    </row>
    <row r="15">
      <c r="A15" t="inlineStr">
        <is>
          <t>Millalemu 1.4</t>
        </is>
      </c>
      <c r="B15" t="n">
        <v>7000</v>
      </c>
    </row>
    <row r="16">
      <c r="A16" t="inlineStr">
        <is>
          <t>Millalemu 5</t>
        </is>
      </c>
      <c r="B16" t="n">
        <v>8000</v>
      </c>
    </row>
    <row r="17">
      <c r="A17" t="inlineStr">
        <is>
          <t>Millalemu 7</t>
        </is>
      </c>
      <c r="B17" t="n">
        <v>7000</v>
      </c>
    </row>
    <row r="18">
      <c r="A18" t="inlineStr">
        <is>
          <t>Millalemu 9</t>
        </is>
      </c>
      <c r="B18" t="n">
        <v>7000</v>
      </c>
    </row>
    <row r="19">
      <c r="A19" t="inlineStr">
        <is>
          <t>Millalemu 11</t>
        </is>
      </c>
      <c r="B19" t="n">
        <v>6000</v>
      </c>
    </row>
    <row r="21">
      <c r="A21" s="277" t="inlineStr">
        <is>
          <t>Dia</t>
        </is>
      </c>
      <c r="B21" s="277" t="inlineStr">
        <is>
          <t>Obs Principal</t>
        </is>
      </c>
    </row>
    <row r="22">
      <c r="A22" t="n">
        <v>1</v>
      </c>
      <c r="B22" t="inlineStr">
        <is>
          <t>[Millalemu 5] Feriado 1ro de Mayo, no se trabajo.</t>
        </is>
      </c>
    </row>
    <row r="23">
      <c r="A23" t="n">
        <v>2</v>
      </c>
      <c r="B23" t="inlineStr">
        <is>
          <t>[Millalemu 9] Procesador en pane por robo de piezas del cabezal</t>
        </is>
      </c>
    </row>
    <row r="24">
      <c r="A24" t="n">
        <v>3</v>
      </c>
      <c r="B24" t="inlineStr">
        <is>
          <t>[Millalemu 9] Robo de piezas al procesador</t>
        </is>
      </c>
    </row>
    <row r="25">
      <c r="A25" t="n">
        <v>4</v>
      </c>
      <c r="B25" t="inlineStr">
        <is>
          <t>[Millalemu 9] Por robo piezas cabezal</t>
        </is>
      </c>
    </row>
    <row r="26">
      <c r="A26" t="n">
        <v>5</v>
      </c>
      <c r="B26" t="inlineStr">
        <is>
          <t>[Millalemu 9] Por robo de piezas al cabezal</t>
        </is>
      </c>
    </row>
    <row r="27">
      <c r="A27" t="n">
        <v>6</v>
      </c>
      <c r="B27" t="inlineStr">
        <is>
          <t>[Millalemu 9] Robo modulo de cabezal</t>
        </is>
      </c>
    </row>
    <row r="28">
      <c r="A28" t="n">
        <v>7</v>
      </c>
      <c r="B28" t="inlineStr">
        <is>
          <t>[Millalemu 9] Por Robo de piesas de cabezal</t>
        </is>
      </c>
    </row>
    <row r="29">
      <c r="A29" t="n">
        <v>8</v>
      </c>
      <c r="B29" t="inlineStr">
        <is>
          <t>[Millalemu 9] Reparacion y reposicion de piezas robadas</t>
        </is>
      </c>
    </row>
    <row r="30">
      <c r="A30" t="n">
        <v>9</v>
      </c>
      <c r="B30" t="inlineStr">
        <is>
          <t>[Millalemu 1.1] Por termino de predio (escenario el cabrito cbb) y a espera de traslado?????</t>
        </is>
      </c>
    </row>
    <row r="31">
      <c r="A31" t="n">
        <v>10</v>
      </c>
      <c r="B31" t="inlineStr">
        <is>
          <t>[Millalemu 1.1] Termino de predio ,y espera de documentacion de fasa , para traslado</t>
        </is>
      </c>
    </row>
    <row r="32">
      <c r="A32" t="n">
        <v>11</v>
      </c>
      <c r="B32" t="inlineStr">
        <is>
          <t>[Millalemu 1.4] Sin actividad por traslado a otro predio</t>
        </is>
      </c>
    </row>
    <row r="33">
      <c r="A33" t="n">
        <v>12</v>
      </c>
      <c r="B33" t="inlineStr">
        <is>
          <t>[Millalemu 1.1] traslado de el cabrito  a predio quirquincho  Aun no esta ingresado el predio quirquincho a geonoc</t>
        </is>
      </c>
    </row>
    <row r="34">
      <c r="A34" t="n">
        <v>13</v>
      </c>
      <c r="B34" t="inlineStr">
        <is>
          <t>[Millalemu 1.1] Por traslado de equipo de trozado   Solo volteo la mayoria de la  jornada.</t>
        </is>
      </c>
    </row>
    <row r="35">
      <c r="A35" t="n">
        <v>14</v>
      </c>
      <c r="B35" t="inlineStr">
        <is>
          <t>[Millalemu 1.3] Madereo desde 500 mtrs</t>
        </is>
      </c>
    </row>
    <row r="36">
      <c r="A36" t="n">
        <v>15</v>
      </c>
      <c r="B36" t="inlineStr">
        <is>
          <t>[Millalemu 1.3] Madereo desde 500 mtrs</t>
        </is>
      </c>
    </row>
    <row r="37">
      <c r="A37" t="n">
        <v>16</v>
      </c>
      <c r="B37" t="inlineStr">
        <is>
          <t>[Millalemu 1.3] Reparacion/Falla equipo de volteo</t>
        </is>
      </c>
    </row>
    <row r="38">
      <c r="A38" t="n">
        <v>17</v>
      </c>
      <c r="B38" t="inlineStr">
        <is>
          <t>[Millalemu 11] Remate de un esc al final de linea 3 de madereo esc 4, el remate en esc 788</t>
        </is>
      </c>
    </row>
    <row r="39">
      <c r="A39" t="n">
        <v>18</v>
      </c>
      <c r="B39" t="inlineStr">
        <is>
          <t>[Millalemu 11]  Reparacion/Falla de carro de madereo</t>
        </is>
      </c>
    </row>
    <row r="40">
      <c r="A40" t="n">
        <v>19</v>
      </c>
      <c r="B40" t="inlineStr">
        <is>
          <t>[Millalemu 1.2] Traslado de escenario no se pudo trozar po fslta de espacio y didtancia de realizo volteo</t>
        </is>
      </c>
    </row>
    <row r="41">
      <c r="A41" t="n">
        <v>20</v>
      </c>
      <c r="B41" t="inlineStr">
        <is>
          <t>[Millalemu 1.1] Cambio de rodado de oruga</t>
        </is>
      </c>
    </row>
    <row r="42">
      <c r="A42" t="n">
        <v>21</v>
      </c>
      <c r="B42" t="inlineStr"/>
    </row>
    <row r="43">
      <c r="A43" t="n">
        <v>22</v>
      </c>
      <c r="B43" t="inlineStr"/>
    </row>
    <row r="44">
      <c r="A44" t="n">
        <v>23</v>
      </c>
      <c r="B44" t="inlineStr"/>
    </row>
    <row r="45">
      <c r="A45" t="n">
        <v>24</v>
      </c>
      <c r="B45" t="inlineStr"/>
    </row>
    <row r="46">
      <c r="A46" t="n">
        <v>25</v>
      </c>
      <c r="B46" t="inlineStr"/>
    </row>
    <row r="47">
      <c r="A47" t="n">
        <v>26</v>
      </c>
      <c r="B47" t="inlineStr"/>
    </row>
    <row r="48">
      <c r="A48" t="n">
        <v>27</v>
      </c>
      <c r="B48" t="inlineStr"/>
    </row>
    <row r="49">
      <c r="A49" t="n">
        <v>28</v>
      </c>
      <c r="B49" t="inlineStr"/>
    </row>
    <row r="50">
      <c r="A50" t="n">
        <v>29</v>
      </c>
      <c r="B50" t="inlineStr"/>
    </row>
    <row r="51">
      <c r="A51" t="n">
        <v>30</v>
      </c>
      <c r="B51" t="inlineStr"/>
    </row>
    <row r="52">
      <c r="A52" t="n">
        <v>31</v>
      </c>
      <c r="B5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2026-04-06T01:08:09Z</dcterms:created>
  <dcterms:modified xsi:type="dcterms:W3CDTF">2026-05-21T13:53:43Z</dcterms:modified>
  <cp:lastModifiedBy>cesar gomez</cp:lastModifiedBy>
  <cp:revision>6</cp:revision>
</cp:coreProperties>
</file>